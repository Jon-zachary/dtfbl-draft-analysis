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40" windowWidth="15390" windowHeight="92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W16" i="1"/>
  <c r="W15"/>
  <c r="W14"/>
  <c r="W13"/>
  <c r="W12"/>
  <c r="W11"/>
  <c r="W10"/>
  <c r="W9"/>
  <c r="W8"/>
  <c r="W7"/>
  <c r="W6"/>
  <c r="W5"/>
  <c r="W4"/>
  <c r="Q33"/>
  <c r="Q32"/>
  <c r="Q31"/>
  <c r="Q30"/>
  <c r="Q29"/>
  <c r="Q28"/>
  <c r="Q27"/>
  <c r="Q26"/>
  <c r="Q25"/>
  <c r="Q24"/>
  <c r="Q23"/>
  <c r="Q22"/>
  <c r="Q21"/>
  <c r="Q16"/>
  <c r="Q15"/>
  <c r="Q14"/>
  <c r="Q13"/>
  <c r="Q12"/>
  <c r="Q11"/>
  <c r="Q10"/>
  <c r="Q9"/>
  <c r="Q8"/>
  <c r="Q7"/>
  <c r="Q6"/>
  <c r="Q5"/>
  <c r="Q4"/>
  <c r="E33"/>
  <c r="E32"/>
  <c r="E31"/>
  <c r="E30"/>
  <c r="E29"/>
  <c r="E28"/>
  <c r="E27"/>
  <c r="E26"/>
  <c r="E25"/>
  <c r="E24"/>
  <c r="E23"/>
  <c r="E22"/>
  <c r="E21"/>
  <c r="E16"/>
  <c r="E15"/>
  <c r="E14"/>
  <c r="E13"/>
  <c r="E12"/>
  <c r="E11"/>
  <c r="E10"/>
  <c r="E9"/>
  <c r="E8"/>
  <c r="E7"/>
  <c r="E6"/>
  <c r="E5"/>
  <c r="E4"/>
  <c r="K33"/>
  <c r="K32"/>
  <c r="K31"/>
  <c r="K30"/>
  <c r="K29"/>
  <c r="K28"/>
  <c r="K27"/>
  <c r="K26"/>
  <c r="K25"/>
  <c r="K24"/>
  <c r="K23"/>
  <c r="K22"/>
  <c r="K21"/>
  <c r="K16"/>
  <c r="K15"/>
  <c r="K14"/>
  <c r="K13"/>
  <c r="K12"/>
  <c r="K11"/>
  <c r="K10"/>
  <c r="K9"/>
  <c r="K8"/>
  <c r="K7"/>
  <c r="K6"/>
  <c r="K5"/>
  <c r="K4"/>
  <c r="W33" l="1"/>
  <c r="W32"/>
  <c r="W31"/>
  <c r="W30"/>
  <c r="W29"/>
  <c r="W28"/>
  <c r="P34"/>
  <c r="R34" s="1"/>
  <c r="J34"/>
  <c r="L34" s="1"/>
  <c r="D34"/>
  <c r="F34" s="1"/>
  <c r="V17"/>
  <c r="X17" s="1"/>
  <c r="P17"/>
  <c r="R17" s="1"/>
  <c r="J17"/>
  <c r="L17" s="1"/>
  <c r="D17"/>
  <c r="F17" s="1"/>
  <c r="C19" l="1"/>
  <c r="O19"/>
  <c r="C2"/>
  <c r="I19"/>
  <c r="U2"/>
  <c r="O2"/>
  <c r="I2"/>
  <c r="W17"/>
  <c r="Q34"/>
  <c r="E34"/>
  <c r="W34"/>
  <c r="K17"/>
  <c r="Q17"/>
  <c r="K34"/>
  <c r="E17"/>
</calcChain>
</file>

<file path=xl/sharedStrings.xml><?xml version="1.0" encoding="utf-8"?>
<sst xmlns="http://schemas.openxmlformats.org/spreadsheetml/2006/main" count="274" uniqueCount="127">
  <si>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</si>
  <si>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</si>
  <si>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</si>
  <si>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</si>
  <si>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</si>
  <si>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</si>
  <si>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</si>
  <si>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</si>
  <si>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</si>
  <si>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</si>
  <si>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</si>
  <si>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</si>
  <si>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</si>
  <si>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</si>
  <si>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</si>
  <si>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</si>
  <si>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</si>
  <si>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</si>
  <si>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</si>
  <si>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</si>
  <si>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Maximum Bid</t>
  </si>
  <si>
    <t>DownTown Fantasy Baseball League Draft 2019</t>
  </si>
  <si>
    <t>Paul Goldschmidt</t>
  </si>
  <si>
    <t>StL</t>
  </si>
  <si>
    <t>Max Muncy</t>
  </si>
  <si>
    <t>LA</t>
  </si>
  <si>
    <t>Freddie Freeman</t>
  </si>
  <si>
    <t>Atl</t>
  </si>
  <si>
    <t>Edwin Diaz</t>
  </si>
  <si>
    <t>NYM</t>
  </si>
  <si>
    <t>Jacob DeGrom</t>
  </si>
  <si>
    <t>Anthony Rizzo</t>
  </si>
  <si>
    <t>Chi</t>
  </si>
  <si>
    <t>Andrew McCutchen</t>
  </si>
  <si>
    <t>Phi</t>
  </si>
  <si>
    <t>Ronald Acuna</t>
  </si>
  <si>
    <t>Clayton Kershaw</t>
  </si>
  <si>
    <t>Brian Dozier</t>
  </si>
  <si>
    <t>Was</t>
  </si>
  <si>
    <t>Christian Yelich</t>
  </si>
  <si>
    <t>Mil</t>
  </si>
  <si>
    <t>Max Scherzer</t>
  </si>
  <si>
    <t>Charlie Blackmon</t>
  </si>
  <si>
    <t>Col</t>
  </si>
  <si>
    <t>Kris Bryant</t>
  </si>
  <si>
    <t>Bryce Harper</t>
  </si>
  <si>
    <t>Nick Markakis</t>
  </si>
  <si>
    <t>Juan Soto</t>
  </si>
  <si>
    <t>Patrick Corbin</t>
  </si>
  <si>
    <t>Aaron Nola</t>
  </si>
  <si>
    <t>Anthony Rendon</t>
  </si>
  <si>
    <t>Yasmani Grandal</t>
  </si>
  <si>
    <t>Wil Myers</t>
  </si>
  <si>
    <t>SD</t>
  </si>
  <si>
    <t>Trea Turner</t>
  </si>
  <si>
    <t>Yadier Molina</t>
  </si>
  <si>
    <t>J.T. Realmuto</t>
  </si>
  <si>
    <t>Jon Lester</t>
  </si>
  <si>
    <t>Stephen Strasburg</t>
  </si>
  <si>
    <t>Daniel Murphy</t>
  </si>
  <si>
    <t>Sean Doolittle</t>
  </si>
  <si>
    <t>Ozzie Albies</t>
  </si>
  <si>
    <t>Wilson Contreras</t>
  </si>
  <si>
    <t>Zack Greinke</t>
  </si>
  <si>
    <t>Ari</t>
  </si>
  <si>
    <t>Kenley Jansen</t>
  </si>
  <si>
    <t>Manny Machado</t>
  </si>
  <si>
    <t>Trevor Story</t>
  </si>
  <si>
    <t>Wade Davis</t>
  </si>
  <si>
    <t>Rhys Hoskins</t>
  </si>
  <si>
    <t>Javier Baez</t>
  </si>
  <si>
    <t>Miles Mikolas</t>
  </si>
  <si>
    <t>Michael Conforto</t>
  </si>
  <si>
    <t>Nolan Arenado</t>
  </si>
  <si>
    <t>Joey Votto</t>
  </si>
  <si>
    <t>Cin</t>
  </si>
  <si>
    <t>Kirby Yates</t>
  </si>
  <si>
    <t>Marcell Ozuna</t>
  </si>
  <si>
    <t>Matt Carpenter</t>
  </si>
  <si>
    <t>Noah Syndergaard</t>
  </si>
  <si>
    <t>Ender Inciarte</t>
  </si>
  <si>
    <t>Matt Kemp</t>
  </si>
  <si>
    <t>Zack Wheeler</t>
  </si>
  <si>
    <t>German Marquez</t>
  </si>
  <si>
    <t>Mike Foltynewicz</t>
  </si>
  <si>
    <t>Jed Lowrie</t>
  </si>
  <si>
    <t>Robbie Ray</t>
  </si>
  <si>
    <t>Carlos Martinez</t>
  </si>
  <si>
    <t>Yasiel Puig</t>
  </si>
  <si>
    <t>Brandon Nimmo</t>
  </si>
  <si>
    <t>Kyle Hendricks</t>
  </si>
  <si>
    <t>Felipe Vazquez</t>
  </si>
  <si>
    <t>Pit</t>
  </si>
  <si>
    <t>Wilson Ramos</t>
  </si>
  <si>
    <t>Cody Bellinger</t>
  </si>
  <si>
    <t>Paul DeJong</t>
  </si>
  <si>
    <t>Jean Segura</t>
  </si>
  <si>
    <t>David Peralta</t>
  </si>
  <si>
    <t>Chris Archer</t>
  </si>
  <si>
    <t>Lorenzo Cain</t>
  </si>
  <si>
    <t>Eugenio Suarez</t>
  </si>
  <si>
    <t>Ian Desmond</t>
  </si>
  <si>
    <t>Buster Posey</t>
  </si>
  <si>
    <t>SF</t>
  </si>
  <si>
    <t>Tucker Barnhart</t>
  </si>
  <si>
    <t>Jordan Hicks</t>
  </si>
  <si>
    <t>Alex Wood</t>
  </si>
  <si>
    <t>Jameson Taillon</t>
  </si>
  <si>
    <t>Corey Knebel</t>
  </si>
  <si>
    <t>Robinson Cano</t>
  </si>
  <si>
    <t>Raisel Iglesias</t>
  </si>
  <si>
    <t>David Robertson</t>
  </si>
  <si>
    <t>Corey Seager</t>
  </si>
  <si>
    <t>Rich Hill</t>
  </si>
  <si>
    <t>Chris Taylor</t>
  </si>
  <si>
    <t>Jake Arrietta</t>
  </si>
  <si>
    <t>Cesar Hernandez</t>
  </si>
  <si>
    <t>Walker Buehler</t>
  </si>
  <si>
    <t>Ahmed Rosario</t>
  </si>
  <si>
    <t>A.J. Pollack</t>
  </si>
  <si>
    <t>Ian Kinsler</t>
  </si>
  <si>
    <t>Jack Flaherty</t>
  </si>
  <si>
    <t>Jon Gray</t>
  </si>
  <si>
    <t>David Dahl</t>
  </si>
  <si>
    <t>Pedro Strop</t>
  </si>
  <si>
    <t>Scooter Gennet</t>
  </si>
  <si>
    <t>Starling Marte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</si>
</sst>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2" xfId="0" applyFont="1" applyBorder="1"/>
    <xf numFmtId="0" fontId="0" fillId="0" borderId="0" xfId="0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2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1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 applyAlignment="1">
      <alignment horizontal="right"/>
    </xf>
    <xf numFmtId="0" fontId="5" fillId="0" borderId="0" xfId="0" applyFont="1" applyBorder="1" applyAlignment="1"/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/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zoomScale="80" zoomScaleNormal="80" workbookViewId="0">
      <selection activeCell="B29" sqref="B29"/>
    </sheetView>
  </sheetViews>
  <sheetFormatPr defaultRowHeight="12.75"/>
  <cols>
    <col min="1" max="1" width="13.5703125" bestFit="1" customWidth="1"/>
    <col min="2" max="2" width="23.42578125" customWidth="1"/>
    <col min="3" max="3" width="7.42578125" customWidth="1"/>
    <col min="4" max="4" width="9.5703125" bestFit="1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9.5703125" bestFit="1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9.5703125" bestFit="1" customWidth="1"/>
    <col min="17" max="17" width="7.42578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9.5703125" bestFit="1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>
      <c r="B1" s="26" t="s">
        <v>21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5" s="1" customFormat="1" ht="18.75" customHeight="1">
      <c r="B2" s="23" t="s">
        <v>20</v>
      </c>
      <c r="C2" s="27">
        <f>260-SUM(D4:D16)-SUM(E4:E16)+1</f>
        <v>1</v>
      </c>
      <c r="D2" s="27"/>
      <c r="E2" s="27"/>
      <c r="F2" s="27"/>
      <c r="G2" s="12"/>
      <c r="H2" s="11" t="s">
        <v>20</v>
      </c>
      <c r="I2" s="27">
        <f>260-SUM(J4:J16)-SUM(K4:K16)+1</f>
        <v>1</v>
      </c>
      <c r="J2" s="27"/>
      <c r="K2" s="27"/>
      <c r="L2" s="27"/>
      <c r="M2" s="12"/>
      <c r="N2" s="11" t="s">
        <v>20</v>
      </c>
      <c r="O2" s="27">
        <f>260-SUM(P4:P16)-SUM(Q4:Q16)+1</f>
        <v>1</v>
      </c>
      <c r="P2" s="27"/>
      <c r="Q2" s="27"/>
      <c r="R2" s="27"/>
      <c r="S2" s="12"/>
      <c r="T2" s="11" t="s">
        <v>20</v>
      </c>
      <c r="U2" s="27">
        <f>260-SUM(V4:V16)-SUM(W4:W16)+1</f>
        <v>1</v>
      </c>
      <c r="V2" s="27"/>
      <c r="W2" s="27"/>
      <c r="X2" s="27"/>
    </row>
    <row r="3" spans="1:25" s="1" customFormat="1" ht="18.75" customHeight="1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6" t="s">
        <v>8</v>
      </c>
      <c r="K3" s="6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6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>
      <c r="A4" s="3" t="s">
        <v>14</v>
      </c>
      <c r="B4" s="24" t="s">
        <v>102</v>
      </c>
      <c r="C4" s="15" t="s">
        <v>103</v>
      </c>
      <c r="D4" s="15">
        <v>2</v>
      </c>
      <c r="E4" s="16">
        <f>IF(D4&gt;0, 0, 1)</f>
        <v>0</v>
      </c>
      <c r="F4" s="17">
        <v>10</v>
      </c>
      <c r="G4" s="7"/>
      <c r="H4" s="24" t="s">
        <v>93</v>
      </c>
      <c r="I4" s="15" t="s">
        <v>29</v>
      </c>
      <c r="J4" s="15">
        <v>1</v>
      </c>
      <c r="K4" s="16">
        <f>IF(J4&gt;0, 0, 1)</f>
        <v>0</v>
      </c>
      <c r="L4" s="17">
        <v>57</v>
      </c>
      <c r="M4" s="4"/>
      <c r="N4" s="24" t="s">
        <v>51</v>
      </c>
      <c r="O4" s="15" t="s">
        <v>40</v>
      </c>
      <c r="P4" s="15">
        <v>26</v>
      </c>
      <c r="Q4" s="16">
        <f>IF(P4&gt;0, 0, 1)</f>
        <v>0</v>
      </c>
      <c r="R4" s="17">
        <v>14</v>
      </c>
      <c r="S4" s="5"/>
      <c r="T4" s="24" t="s">
        <v>55</v>
      </c>
      <c r="U4" s="15" t="s">
        <v>23</v>
      </c>
      <c r="V4" s="15">
        <v>2</v>
      </c>
      <c r="W4" s="16">
        <f>IF(V4&gt;0, 0, 1)</f>
        <v>0</v>
      </c>
      <c r="X4" s="17">
        <v>102</v>
      </c>
      <c r="Y4" s="10" t="s">
        <v>14</v>
      </c>
    </row>
    <row r="5" spans="1:25" s="1" customFormat="1" ht="18.75" customHeight="1">
      <c r="A5" s="3" t="s">
        <v>10</v>
      </c>
      <c r="B5" s="24" t="s">
        <v>94</v>
      </c>
      <c r="C5" s="15" t="s">
        <v>25</v>
      </c>
      <c r="D5" s="15">
        <v>1</v>
      </c>
      <c r="E5" s="16">
        <f t="shared" ref="E5:E16" si="0">IF(D5&gt;0, 0, 1)</f>
        <v>0</v>
      </c>
      <c r="F5" s="17">
        <v>12</v>
      </c>
      <c r="G5" s="7"/>
      <c r="H5" s="24" t="s">
        <v>26</v>
      </c>
      <c r="I5" s="15" t="s">
        <v>27</v>
      </c>
      <c r="J5" s="15">
        <v>50</v>
      </c>
      <c r="K5" s="16">
        <f t="shared" ref="K5:K16" si="1">IF(J5&gt;0, 0, 1)</f>
        <v>0</v>
      </c>
      <c r="L5" s="17">
        <v>210</v>
      </c>
      <c r="M5" s="4"/>
      <c r="N5" s="24" t="s">
        <v>31</v>
      </c>
      <c r="O5" s="15" t="s">
        <v>32</v>
      </c>
      <c r="P5" s="15">
        <v>31</v>
      </c>
      <c r="Q5" s="16">
        <f t="shared" ref="Q5:Q16" si="2">IF(P5&gt;0, 0, 1)</f>
        <v>0</v>
      </c>
      <c r="R5" s="17">
        <v>182</v>
      </c>
      <c r="S5" s="5"/>
      <c r="T5" s="24" t="s">
        <v>74</v>
      </c>
      <c r="U5" s="15" t="s">
        <v>75</v>
      </c>
      <c r="V5" s="15">
        <v>1</v>
      </c>
      <c r="W5" s="16">
        <f t="shared" ref="W5:W16" si="3">IF(V5&gt;0, 0, 1)</f>
        <v>0</v>
      </c>
      <c r="X5" s="17">
        <v>12</v>
      </c>
      <c r="Y5" s="10" t="s">
        <v>10</v>
      </c>
    </row>
    <row r="6" spans="1:25" s="1" customFormat="1" ht="18.75" customHeight="1">
      <c r="A6" s="3" t="s">
        <v>11</v>
      </c>
      <c r="B6" s="24" t="s">
        <v>109</v>
      </c>
      <c r="C6" s="15" t="s">
        <v>29</v>
      </c>
      <c r="D6" s="15">
        <v>4</v>
      </c>
      <c r="E6" s="16">
        <f t="shared" si="0"/>
        <v>0</v>
      </c>
      <c r="F6" s="17">
        <v>4</v>
      </c>
      <c r="G6" s="7"/>
      <c r="H6" s="24" t="s">
        <v>125</v>
      </c>
      <c r="I6" s="15" t="s">
        <v>75</v>
      </c>
      <c r="J6" s="15">
        <v>20</v>
      </c>
      <c r="K6" s="16">
        <f t="shared" si="1"/>
        <v>0</v>
      </c>
      <c r="L6" s="17">
        <v>37</v>
      </c>
      <c r="M6" s="4"/>
      <c r="N6" s="24" t="s">
        <v>120</v>
      </c>
      <c r="O6" s="15" t="s">
        <v>53</v>
      </c>
      <c r="P6" s="15">
        <v>1</v>
      </c>
      <c r="Q6" s="16">
        <f t="shared" si="2"/>
        <v>0</v>
      </c>
      <c r="R6" s="17">
        <v>0</v>
      </c>
      <c r="S6" s="5"/>
      <c r="T6" s="24" t="s">
        <v>24</v>
      </c>
      <c r="U6" s="15" t="s">
        <v>25</v>
      </c>
      <c r="V6" s="15">
        <v>7</v>
      </c>
      <c r="W6" s="16">
        <f t="shared" si="3"/>
        <v>0</v>
      </c>
      <c r="X6" s="17">
        <v>253</v>
      </c>
      <c r="Y6" s="10" t="s">
        <v>11</v>
      </c>
    </row>
    <row r="7" spans="1:25" s="1" customFormat="1" ht="18.75" customHeight="1">
      <c r="A7" s="3" t="s">
        <v>13</v>
      </c>
      <c r="B7" s="24" t="s">
        <v>70</v>
      </c>
      <c r="C7" s="15" t="s">
        <v>32</v>
      </c>
      <c r="D7" s="15">
        <v>36</v>
      </c>
      <c r="E7" s="16">
        <f t="shared" si="0"/>
        <v>0</v>
      </c>
      <c r="F7" s="17">
        <v>83</v>
      </c>
      <c r="G7" s="7"/>
      <c r="H7" s="24" t="s">
        <v>96</v>
      </c>
      <c r="I7" s="15" t="s">
        <v>34</v>
      </c>
      <c r="J7" s="15">
        <v>20</v>
      </c>
      <c r="K7" s="16">
        <f t="shared" si="1"/>
        <v>0</v>
      </c>
      <c r="L7" s="17">
        <v>17</v>
      </c>
      <c r="M7" s="4"/>
      <c r="N7" s="24" t="s">
        <v>95</v>
      </c>
      <c r="O7" s="15" t="s">
        <v>23</v>
      </c>
      <c r="P7" s="15">
        <v>1</v>
      </c>
      <c r="Q7" s="16">
        <f t="shared" si="2"/>
        <v>0</v>
      </c>
      <c r="R7" s="17">
        <v>10</v>
      </c>
      <c r="S7" s="5"/>
      <c r="T7" s="24" t="s">
        <v>54</v>
      </c>
      <c r="U7" s="15" t="s">
        <v>38</v>
      </c>
      <c r="V7" s="15">
        <v>52</v>
      </c>
      <c r="W7" s="16">
        <f t="shared" si="3"/>
        <v>0</v>
      </c>
      <c r="X7" s="17">
        <v>104</v>
      </c>
      <c r="Y7" s="10" t="s">
        <v>13</v>
      </c>
    </row>
    <row r="8" spans="1:25" s="1" customFormat="1" ht="18.75" customHeight="1">
      <c r="A8" s="3" t="s">
        <v>12</v>
      </c>
      <c r="B8" s="24" t="s">
        <v>78</v>
      </c>
      <c r="C8" s="15" t="s">
        <v>23</v>
      </c>
      <c r="D8" s="15">
        <v>45</v>
      </c>
      <c r="E8" s="16">
        <f t="shared" si="0"/>
        <v>0</v>
      </c>
      <c r="F8" s="17">
        <v>15</v>
      </c>
      <c r="G8" s="7"/>
      <c r="H8" s="24" t="s">
        <v>85</v>
      </c>
      <c r="I8" s="15" t="s">
        <v>29</v>
      </c>
      <c r="J8" s="15">
        <v>5</v>
      </c>
      <c r="K8" s="16">
        <f t="shared" si="1"/>
        <v>0</v>
      </c>
      <c r="L8" s="17">
        <v>58</v>
      </c>
      <c r="M8" s="4"/>
      <c r="N8" s="24" t="s">
        <v>50</v>
      </c>
      <c r="O8" s="15" t="s">
        <v>38</v>
      </c>
      <c r="P8" s="15">
        <v>38</v>
      </c>
      <c r="Q8" s="16">
        <f t="shared" si="2"/>
        <v>0</v>
      </c>
      <c r="R8" s="17">
        <v>40</v>
      </c>
      <c r="S8" s="5"/>
      <c r="T8" s="24" t="s">
        <v>66</v>
      </c>
      <c r="U8" s="15" t="s">
        <v>53</v>
      </c>
      <c r="V8" s="15">
        <v>45</v>
      </c>
      <c r="W8" s="16">
        <f t="shared" si="3"/>
        <v>0</v>
      </c>
      <c r="X8" s="17">
        <v>13</v>
      </c>
      <c r="Y8" s="10" t="s">
        <v>12</v>
      </c>
    </row>
    <row r="9" spans="1:25" s="1" customFormat="1" ht="18.75" customHeight="1">
      <c r="A9" s="3" t="s">
        <v>15</v>
      </c>
      <c r="B9" s="24" t="s">
        <v>39</v>
      </c>
      <c r="C9" s="15" t="s">
        <v>40</v>
      </c>
      <c r="D9" s="15">
        <v>62</v>
      </c>
      <c r="E9" s="16">
        <f t="shared" si="0"/>
        <v>0</v>
      </c>
      <c r="F9" s="17">
        <v>198</v>
      </c>
      <c r="G9" s="7"/>
      <c r="H9" s="24" t="s">
        <v>46</v>
      </c>
      <c r="I9" s="15" t="s">
        <v>27</v>
      </c>
      <c r="J9" s="15">
        <v>29</v>
      </c>
      <c r="K9" s="16">
        <f t="shared" si="1"/>
        <v>0</v>
      </c>
      <c r="L9" s="17">
        <v>139</v>
      </c>
      <c r="M9" s="4"/>
      <c r="N9" s="24" t="s">
        <v>42</v>
      </c>
      <c r="O9" s="15" t="s">
        <v>43</v>
      </c>
      <c r="P9" s="15">
        <v>69</v>
      </c>
      <c r="Q9" s="16">
        <f t="shared" si="2"/>
        <v>0</v>
      </c>
      <c r="R9" s="17">
        <v>78</v>
      </c>
      <c r="S9" s="5"/>
      <c r="T9" s="24" t="s">
        <v>33</v>
      </c>
      <c r="U9" s="15" t="s">
        <v>34</v>
      </c>
      <c r="V9" s="15">
        <v>32</v>
      </c>
      <c r="W9" s="16">
        <f t="shared" si="3"/>
        <v>0</v>
      </c>
      <c r="X9" s="17">
        <v>221</v>
      </c>
      <c r="Y9" s="10" t="s">
        <v>15</v>
      </c>
    </row>
    <row r="10" spans="1:25" s="1" customFormat="1" ht="18.75" customHeight="1">
      <c r="A10" s="3" t="s">
        <v>15</v>
      </c>
      <c r="B10" s="24" t="s">
        <v>45</v>
      </c>
      <c r="C10" s="15" t="s">
        <v>34</v>
      </c>
      <c r="D10" s="15">
        <v>79</v>
      </c>
      <c r="E10" s="16">
        <f t="shared" si="0"/>
        <v>0</v>
      </c>
      <c r="F10" s="17">
        <v>119</v>
      </c>
      <c r="G10" s="7"/>
      <c r="H10" s="24" t="s">
        <v>80</v>
      </c>
      <c r="I10" s="15" t="s">
        <v>27</v>
      </c>
      <c r="J10" s="15">
        <v>9</v>
      </c>
      <c r="K10" s="16">
        <f t="shared" si="1"/>
        <v>0</v>
      </c>
      <c r="L10" s="17">
        <v>83</v>
      </c>
      <c r="M10" s="4"/>
      <c r="N10" s="24" t="s">
        <v>81</v>
      </c>
      <c r="O10" s="15" t="s">
        <v>75</v>
      </c>
      <c r="P10" s="15">
        <v>2</v>
      </c>
      <c r="Q10" s="16">
        <f t="shared" si="2"/>
        <v>0</v>
      </c>
      <c r="R10" s="17">
        <v>12</v>
      </c>
      <c r="S10" s="5"/>
      <c r="T10" s="24" t="s">
        <v>88</v>
      </c>
      <c r="U10" s="15" t="s">
        <v>75</v>
      </c>
      <c r="V10" s="15">
        <v>3</v>
      </c>
      <c r="W10" s="16">
        <f t="shared" si="3"/>
        <v>0</v>
      </c>
      <c r="X10" s="17">
        <v>9</v>
      </c>
      <c r="Y10" s="10" t="s">
        <v>15</v>
      </c>
    </row>
    <row r="11" spans="1:25" s="1" customFormat="1" ht="18.75" customHeight="1">
      <c r="A11" s="3" t="s">
        <v>15</v>
      </c>
      <c r="B11" s="24" t="s">
        <v>123</v>
      </c>
      <c r="C11" s="15" t="s">
        <v>43</v>
      </c>
      <c r="D11" s="15">
        <v>2</v>
      </c>
      <c r="E11" s="16">
        <f t="shared" si="0"/>
        <v>0</v>
      </c>
      <c r="F11" s="17">
        <v>0</v>
      </c>
      <c r="G11" s="7"/>
      <c r="H11" s="24" t="s">
        <v>97</v>
      </c>
      <c r="I11" s="15" t="s">
        <v>64</v>
      </c>
      <c r="J11" s="15">
        <v>17</v>
      </c>
      <c r="K11" s="16">
        <f t="shared" si="1"/>
        <v>0</v>
      </c>
      <c r="L11" s="17">
        <v>0</v>
      </c>
      <c r="M11" s="4"/>
      <c r="N11" s="24" t="s">
        <v>99</v>
      </c>
      <c r="O11" s="15" t="s">
        <v>40</v>
      </c>
      <c r="P11" s="15">
        <v>6</v>
      </c>
      <c r="Q11" s="16">
        <f t="shared" si="2"/>
        <v>0</v>
      </c>
      <c r="R11" s="17">
        <v>4</v>
      </c>
      <c r="S11" s="5"/>
      <c r="T11" s="24" t="s">
        <v>114</v>
      </c>
      <c r="U11" s="15" t="s">
        <v>25</v>
      </c>
      <c r="V11" s="15">
        <v>4</v>
      </c>
      <c r="W11" s="16">
        <f t="shared" si="3"/>
        <v>0</v>
      </c>
      <c r="X11" s="17">
        <v>0</v>
      </c>
      <c r="Y11" s="10" t="s">
        <v>15</v>
      </c>
    </row>
    <row r="12" spans="1:25" s="1" customFormat="1" ht="18.75" customHeight="1">
      <c r="A12" s="3" t="s">
        <v>16</v>
      </c>
      <c r="B12" s="24" t="s">
        <v>71</v>
      </c>
      <c r="C12" s="15" t="s">
        <v>23</v>
      </c>
      <c r="D12" s="15">
        <v>13</v>
      </c>
      <c r="E12" s="16">
        <f t="shared" si="0"/>
        <v>0</v>
      </c>
      <c r="F12" s="17">
        <v>70</v>
      </c>
      <c r="G12" s="7"/>
      <c r="H12" s="24" t="s">
        <v>48</v>
      </c>
      <c r="I12" s="15" t="s">
        <v>38</v>
      </c>
      <c r="J12" s="15">
        <v>32</v>
      </c>
      <c r="K12" s="16">
        <f t="shared" si="1"/>
        <v>0</v>
      </c>
      <c r="L12" s="17">
        <v>107</v>
      </c>
      <c r="M12" s="4"/>
      <c r="N12" s="24" t="s">
        <v>30</v>
      </c>
      <c r="O12" s="15" t="s">
        <v>29</v>
      </c>
      <c r="P12" s="15">
        <v>47</v>
      </c>
      <c r="Q12" s="16">
        <f t="shared" si="2"/>
        <v>0</v>
      </c>
      <c r="R12" s="17">
        <v>213</v>
      </c>
      <c r="S12" s="5"/>
      <c r="T12" s="24" t="s">
        <v>41</v>
      </c>
      <c r="U12" s="15" t="s">
        <v>38</v>
      </c>
      <c r="V12" s="15">
        <v>65</v>
      </c>
      <c r="W12" s="16">
        <f t="shared" si="3"/>
        <v>0</v>
      </c>
      <c r="X12" s="17">
        <v>156</v>
      </c>
      <c r="Y12" s="10" t="s">
        <v>16</v>
      </c>
    </row>
    <row r="13" spans="1:25" s="1" customFormat="1" ht="18.75" customHeight="1">
      <c r="A13" s="3" t="s">
        <v>16</v>
      </c>
      <c r="B13" s="24" t="s">
        <v>82</v>
      </c>
      <c r="C13" s="15" t="s">
        <v>29</v>
      </c>
      <c r="D13" s="15">
        <v>2</v>
      </c>
      <c r="E13" s="16">
        <f t="shared" si="0"/>
        <v>0</v>
      </c>
      <c r="F13" s="17">
        <v>13</v>
      </c>
      <c r="G13" s="7"/>
      <c r="H13" s="24" t="s">
        <v>79</v>
      </c>
      <c r="I13" s="15" t="s">
        <v>29</v>
      </c>
      <c r="J13" s="15">
        <v>15</v>
      </c>
      <c r="K13" s="16">
        <f t="shared" si="1"/>
        <v>0</v>
      </c>
      <c r="L13" s="17">
        <v>92</v>
      </c>
      <c r="M13" s="4"/>
      <c r="N13" s="24" t="s">
        <v>36</v>
      </c>
      <c r="O13" s="15" t="s">
        <v>25</v>
      </c>
      <c r="P13" s="15">
        <v>35</v>
      </c>
      <c r="Q13" s="16">
        <f t="shared" si="2"/>
        <v>0</v>
      </c>
      <c r="R13" s="17">
        <v>147</v>
      </c>
      <c r="S13" s="5"/>
      <c r="T13" s="24" t="s">
        <v>57</v>
      </c>
      <c r="U13" s="15" t="s">
        <v>32</v>
      </c>
      <c r="V13" s="15">
        <v>24</v>
      </c>
      <c r="W13" s="16">
        <f t="shared" si="3"/>
        <v>0</v>
      </c>
      <c r="X13" s="17">
        <v>78</v>
      </c>
      <c r="Y13" s="10" t="s">
        <v>16</v>
      </c>
    </row>
    <row r="14" spans="1:25" s="1" customFormat="1" ht="18.75" customHeight="1">
      <c r="A14" s="3" t="s">
        <v>16</v>
      </c>
      <c r="B14" s="24" t="s">
        <v>107</v>
      </c>
      <c r="C14" s="15" t="s">
        <v>92</v>
      </c>
      <c r="D14" s="15">
        <v>2</v>
      </c>
      <c r="E14" s="16">
        <f t="shared" si="0"/>
        <v>0</v>
      </c>
      <c r="F14" s="17">
        <v>8</v>
      </c>
      <c r="G14" s="7"/>
      <c r="H14" s="24" t="s">
        <v>83</v>
      </c>
      <c r="I14" s="15" t="s">
        <v>43</v>
      </c>
      <c r="J14" s="15">
        <v>13</v>
      </c>
      <c r="K14" s="16">
        <f t="shared" si="1"/>
        <v>0</v>
      </c>
      <c r="L14" s="17">
        <v>70</v>
      </c>
      <c r="M14" s="4"/>
      <c r="N14" s="24" t="s">
        <v>87</v>
      </c>
      <c r="O14" s="15" t="s">
        <v>23</v>
      </c>
      <c r="P14" s="15">
        <v>1</v>
      </c>
      <c r="Q14" s="16">
        <f t="shared" si="2"/>
        <v>0</v>
      </c>
      <c r="R14" s="17">
        <v>11</v>
      </c>
      <c r="S14" s="5"/>
      <c r="T14" s="24" t="s">
        <v>106</v>
      </c>
      <c r="U14" s="15" t="s">
        <v>75</v>
      </c>
      <c r="V14" s="15">
        <v>1</v>
      </c>
      <c r="W14" s="16">
        <f t="shared" si="3"/>
        <v>0</v>
      </c>
      <c r="X14" s="17">
        <v>8</v>
      </c>
      <c r="Y14" s="10" t="s">
        <v>16</v>
      </c>
    </row>
    <row r="15" spans="1:25" s="1" customFormat="1" ht="18.75" customHeight="1">
      <c r="A15" s="3" t="s">
        <v>17</v>
      </c>
      <c r="B15" s="24" t="s">
        <v>115</v>
      </c>
      <c r="C15" s="15" t="s">
        <v>34</v>
      </c>
      <c r="D15" s="15">
        <v>2</v>
      </c>
      <c r="E15" s="16">
        <f t="shared" si="0"/>
        <v>0</v>
      </c>
      <c r="F15" s="17">
        <v>2</v>
      </c>
      <c r="G15" s="7"/>
      <c r="H15" s="24" t="s">
        <v>84</v>
      </c>
      <c r="I15" s="15" t="s">
        <v>27</v>
      </c>
      <c r="J15" s="15">
        <v>7</v>
      </c>
      <c r="K15" s="16">
        <f t="shared" si="1"/>
        <v>0</v>
      </c>
      <c r="L15" s="17">
        <v>63</v>
      </c>
      <c r="M15" s="4"/>
      <c r="N15" s="24" t="s">
        <v>113</v>
      </c>
      <c r="O15" s="15" t="s">
        <v>25</v>
      </c>
      <c r="P15" s="15">
        <v>2</v>
      </c>
      <c r="Q15" s="16">
        <f t="shared" si="2"/>
        <v>0</v>
      </c>
      <c r="R15" s="17">
        <v>1</v>
      </c>
      <c r="S15" s="5"/>
      <c r="T15" s="24" t="s">
        <v>111</v>
      </c>
      <c r="U15" s="15" t="s">
        <v>34</v>
      </c>
      <c r="V15" s="15">
        <v>4</v>
      </c>
      <c r="W15" s="16">
        <f t="shared" si="3"/>
        <v>0</v>
      </c>
      <c r="X15" s="17">
        <v>4</v>
      </c>
      <c r="Y15" s="10" t="s">
        <v>17</v>
      </c>
    </row>
    <row r="16" spans="1:25" s="1" customFormat="1" ht="18.75" customHeight="1">
      <c r="A16" s="3" t="s">
        <v>18</v>
      </c>
      <c r="B16" s="24" t="s">
        <v>76</v>
      </c>
      <c r="C16" s="15" t="s">
        <v>53</v>
      </c>
      <c r="D16" s="15">
        <v>10</v>
      </c>
      <c r="E16" s="16">
        <f t="shared" si="0"/>
        <v>0</v>
      </c>
      <c r="F16" s="17">
        <v>60</v>
      </c>
      <c r="G16" s="7"/>
      <c r="H16" s="24" t="s">
        <v>28</v>
      </c>
      <c r="I16" s="15" t="s">
        <v>29</v>
      </c>
      <c r="J16" s="15">
        <v>42</v>
      </c>
      <c r="K16" s="16">
        <f t="shared" si="1"/>
        <v>0</v>
      </c>
      <c r="L16" s="17">
        <v>168</v>
      </c>
      <c r="M16" s="4"/>
      <c r="N16" s="24" t="s">
        <v>105</v>
      </c>
      <c r="O16" s="15" t="s">
        <v>23</v>
      </c>
      <c r="P16" s="15">
        <v>1</v>
      </c>
      <c r="Q16" s="16">
        <f t="shared" si="2"/>
        <v>0</v>
      </c>
      <c r="R16" s="17">
        <v>3</v>
      </c>
      <c r="S16" s="5"/>
      <c r="T16" s="24" t="s">
        <v>124</v>
      </c>
      <c r="U16" s="15" t="s">
        <v>32</v>
      </c>
      <c r="V16" s="15">
        <v>20</v>
      </c>
      <c r="W16" s="16">
        <f t="shared" si="3"/>
        <v>0</v>
      </c>
      <c r="X16" s="17">
        <v>58</v>
      </c>
      <c r="Y16" s="10" t="s">
        <v>18</v>
      </c>
    </row>
    <row r="17" spans="1:25" s="1" customFormat="1" ht="18.75" customHeight="1">
      <c r="D17" s="1">
        <f>SUM(D4:D16)</f>
        <v>260</v>
      </c>
      <c r="E17" s="1">
        <f>SUM(E4:E16)</f>
        <v>0</v>
      </c>
      <c r="F17" s="1">
        <f>260-D17</f>
        <v>0</v>
      </c>
      <c r="J17" s="1">
        <f>SUM(J4:J16)</f>
        <v>260</v>
      </c>
      <c r="K17" s="1">
        <f>SUM(K4:K16)</f>
        <v>0</v>
      </c>
      <c r="L17" s="1">
        <f>260-J17</f>
        <v>0</v>
      </c>
      <c r="P17" s="1">
        <f>SUM(P4:P16)</f>
        <v>260</v>
      </c>
      <c r="Q17" s="1">
        <f>SUM(Q4:Q16)</f>
        <v>0</v>
      </c>
      <c r="R17" s="1">
        <f>260-P17</f>
        <v>0</v>
      </c>
      <c r="V17" s="1">
        <f>SUM(V4:V16)</f>
        <v>260</v>
      </c>
      <c r="W17" s="1">
        <f>SUM(W4:W16)</f>
        <v>0</v>
      </c>
      <c r="X17" s="1">
        <f>260-V17</f>
        <v>0</v>
      </c>
    </row>
    <row r="18" spans="1:25" s="1" customFormat="1" ht="18.75" customHeight="1"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21"/>
      <c r="S18" s="21"/>
      <c r="T18" s="21"/>
      <c r="U18" s="21"/>
      <c r="V18" s="21"/>
      <c r="W18" s="21"/>
      <c r="X18" s="21"/>
    </row>
    <row r="19" spans="1:25" s="1" customFormat="1" ht="18.75" customHeight="1">
      <c r="A19" s="8"/>
      <c r="B19" s="13" t="s">
        <v>20</v>
      </c>
      <c r="C19" s="25">
        <f>260-SUM(D21:D33)-SUM(E21:E33)+1</f>
        <v>1</v>
      </c>
      <c r="D19" s="25"/>
      <c r="E19" s="25"/>
      <c r="F19" s="25"/>
      <c r="G19" s="20"/>
      <c r="H19" s="14" t="s">
        <v>20</v>
      </c>
      <c r="I19" s="25">
        <f>260-SUM(J21:J33)-SUM(K21:K33)+1</f>
        <v>1</v>
      </c>
      <c r="J19" s="25"/>
      <c r="K19" s="25"/>
      <c r="L19" s="25"/>
      <c r="M19" s="20"/>
      <c r="N19" s="14" t="s">
        <v>20</v>
      </c>
      <c r="O19" s="25">
        <f>260-SUM(P21:P33)-SUM(Q21:Q33)+1</f>
        <v>1</v>
      </c>
      <c r="P19" s="25"/>
      <c r="Q19" s="25"/>
      <c r="R19" s="25"/>
      <c r="S19" s="20"/>
      <c r="T19" s="14"/>
      <c r="U19" s="25"/>
      <c r="V19" s="25"/>
      <c r="W19" s="25"/>
      <c r="X19" s="25"/>
    </row>
    <row r="20" spans="1:25" s="1" customFormat="1" ht="18.75" customHeight="1">
      <c r="A20" s="1" t="s">
        <v>0</v>
      </c>
      <c r="B20" s="6" t="s">
        <v>5</v>
      </c>
      <c r="C20" s="2" t="s">
        <v>19</v>
      </c>
      <c r="D20" s="6" t="s">
        <v>8</v>
      </c>
      <c r="E20" s="6"/>
      <c r="F20" s="6" t="s">
        <v>9</v>
      </c>
      <c r="G20" s="6"/>
      <c r="H20" s="6" t="s">
        <v>6</v>
      </c>
      <c r="I20" s="2" t="s">
        <v>19</v>
      </c>
      <c r="J20" s="6" t="s">
        <v>8</v>
      </c>
      <c r="K20" s="6"/>
      <c r="L20" s="6" t="s">
        <v>9</v>
      </c>
      <c r="M20" s="6"/>
      <c r="N20" s="6" t="s">
        <v>7</v>
      </c>
      <c r="O20" s="2" t="s">
        <v>19</v>
      </c>
      <c r="P20" s="6" t="s">
        <v>8</v>
      </c>
      <c r="Q20" s="6"/>
      <c r="R20" s="6" t="s">
        <v>9</v>
      </c>
      <c r="S20" s="6"/>
      <c r="T20" s="6"/>
      <c r="U20" s="6"/>
      <c r="V20" s="6"/>
      <c r="W20" s="6"/>
      <c r="X20" s="6"/>
      <c r="Y20" s="1" t="s">
        <v>0</v>
      </c>
    </row>
    <row r="21" spans="1:25" s="1" customFormat="1" ht="18.75" customHeight="1">
      <c r="A21" s="3" t="s">
        <v>14</v>
      </c>
      <c r="B21" s="24" t="s">
        <v>62</v>
      </c>
      <c r="C21" s="15" t="s">
        <v>32</v>
      </c>
      <c r="D21" s="15">
        <v>28</v>
      </c>
      <c r="E21" s="16">
        <f>IF(D21&gt;0, 0, 1)</f>
        <v>0</v>
      </c>
      <c r="F21" s="17">
        <v>18</v>
      </c>
      <c r="G21" s="5"/>
      <c r="H21" s="24" t="s">
        <v>56</v>
      </c>
      <c r="I21" s="15" t="s">
        <v>34</v>
      </c>
      <c r="J21" s="15">
        <v>51</v>
      </c>
      <c r="K21" s="16">
        <f>IF(J21&gt;0, 0, 1)</f>
        <v>0</v>
      </c>
      <c r="L21" s="17">
        <v>120</v>
      </c>
      <c r="M21" s="4"/>
      <c r="N21" s="24" t="s">
        <v>104</v>
      </c>
      <c r="O21" s="15" t="s">
        <v>75</v>
      </c>
      <c r="P21" s="15">
        <v>1</v>
      </c>
      <c r="Q21" s="16">
        <f>IF(P21&gt;0, 0, 1)</f>
        <v>0</v>
      </c>
      <c r="R21" s="17">
        <v>2</v>
      </c>
      <c r="S21" s="5"/>
      <c r="T21" s="18"/>
      <c r="U21" s="19"/>
      <c r="V21" s="15"/>
      <c r="W21" s="16"/>
      <c r="X21" s="17"/>
      <c r="Y21" s="10" t="s">
        <v>14</v>
      </c>
    </row>
    <row r="22" spans="1:25" s="1" customFormat="1" ht="18.75" customHeight="1">
      <c r="A22" s="3" t="s">
        <v>10</v>
      </c>
      <c r="B22" s="24" t="s">
        <v>22</v>
      </c>
      <c r="C22" s="15" t="s">
        <v>23</v>
      </c>
      <c r="D22" s="15">
        <v>61</v>
      </c>
      <c r="E22" s="16">
        <f t="shared" ref="E22:E33" si="4">IF(D22&gt;0, 0, 1)</f>
        <v>0</v>
      </c>
      <c r="F22" s="17">
        <v>199</v>
      </c>
      <c r="G22" s="5"/>
      <c r="H22" s="24" t="s">
        <v>59</v>
      </c>
      <c r="I22" s="15" t="s">
        <v>43</v>
      </c>
      <c r="J22" s="15">
        <v>1</v>
      </c>
      <c r="K22" s="16">
        <f t="shared" ref="K22:K33" si="5">IF(J22&gt;0, 0, 1)</f>
        <v>0</v>
      </c>
      <c r="L22" s="17">
        <v>119</v>
      </c>
      <c r="M22" s="4"/>
      <c r="N22" s="24" t="s">
        <v>69</v>
      </c>
      <c r="O22" s="15" t="s">
        <v>34</v>
      </c>
      <c r="P22" s="15">
        <v>57</v>
      </c>
      <c r="Q22" s="16">
        <f t="shared" ref="Q22:Q33" si="6">IF(P22&gt;0, 0, 1)</f>
        <v>0</v>
      </c>
      <c r="R22" s="17">
        <v>62</v>
      </c>
      <c r="S22" s="5"/>
      <c r="T22" s="18"/>
      <c r="U22" s="19"/>
      <c r="V22" s="15"/>
      <c r="W22" s="16"/>
      <c r="X22" s="17"/>
      <c r="Y22" s="10" t="s">
        <v>10</v>
      </c>
    </row>
    <row r="23" spans="1:25" s="1" customFormat="1" ht="18.75" customHeight="1">
      <c r="A23" s="3" t="s">
        <v>11</v>
      </c>
      <c r="B23" s="24" t="s">
        <v>37</v>
      </c>
      <c r="C23" s="15" t="s">
        <v>38</v>
      </c>
      <c r="D23" s="15">
        <v>32</v>
      </c>
      <c r="E23" s="16">
        <f t="shared" si="4"/>
        <v>0</v>
      </c>
      <c r="F23" s="17">
        <v>167</v>
      </c>
      <c r="G23" s="5"/>
      <c r="H23" s="24" t="s">
        <v>116</v>
      </c>
      <c r="I23" s="15" t="s">
        <v>34</v>
      </c>
      <c r="J23" s="15">
        <v>2</v>
      </c>
      <c r="K23" s="16">
        <f t="shared" si="5"/>
        <v>0</v>
      </c>
      <c r="L23" s="17">
        <v>5</v>
      </c>
      <c r="M23" s="4"/>
      <c r="N23" s="24" t="s">
        <v>61</v>
      </c>
      <c r="O23" s="15" t="s">
        <v>27</v>
      </c>
      <c r="P23" s="15">
        <v>28</v>
      </c>
      <c r="Q23" s="16">
        <f t="shared" si="6"/>
        <v>0</v>
      </c>
      <c r="R23" s="17">
        <v>204</v>
      </c>
      <c r="S23" s="5"/>
      <c r="T23" s="18"/>
      <c r="U23" s="19"/>
      <c r="V23" s="15"/>
      <c r="W23" s="16"/>
      <c r="X23" s="17"/>
      <c r="Y23" s="10" t="s">
        <v>11</v>
      </c>
    </row>
    <row r="24" spans="1:25" s="1" customFormat="1" ht="18.75" customHeight="1">
      <c r="A24" s="3" t="s">
        <v>13</v>
      </c>
      <c r="B24" s="24" t="s">
        <v>118</v>
      </c>
      <c r="C24" s="15" t="s">
        <v>29</v>
      </c>
      <c r="D24" s="15">
        <v>1</v>
      </c>
      <c r="E24" s="16">
        <f t="shared" si="4"/>
        <v>0</v>
      </c>
      <c r="F24" s="17">
        <v>1</v>
      </c>
      <c r="G24" s="5"/>
      <c r="H24" s="24" t="s">
        <v>112</v>
      </c>
      <c r="I24" s="15" t="s">
        <v>25</v>
      </c>
      <c r="J24" s="15">
        <v>1</v>
      </c>
      <c r="K24" s="16">
        <f t="shared" si="5"/>
        <v>0</v>
      </c>
      <c r="L24" s="17">
        <v>7</v>
      </c>
      <c r="M24" s="4"/>
      <c r="N24" s="24" t="s">
        <v>67</v>
      </c>
      <c r="O24" s="15" t="s">
        <v>43</v>
      </c>
      <c r="P24" s="15">
        <v>50</v>
      </c>
      <c r="Q24" s="16">
        <f t="shared" si="6"/>
        <v>0</v>
      </c>
      <c r="R24" s="17">
        <v>127</v>
      </c>
      <c r="S24" s="5"/>
      <c r="T24" s="18"/>
      <c r="U24" s="19"/>
      <c r="V24" s="15"/>
      <c r="W24" s="16"/>
      <c r="X24" s="17"/>
      <c r="Y24" s="10" t="s">
        <v>13</v>
      </c>
    </row>
    <row r="25" spans="1:25" s="1" customFormat="1" ht="18.75" customHeight="1">
      <c r="A25" s="3" t="s">
        <v>12</v>
      </c>
      <c r="B25" s="24" t="s">
        <v>100</v>
      </c>
      <c r="C25" s="15" t="s">
        <v>75</v>
      </c>
      <c r="D25" s="15">
        <v>1</v>
      </c>
      <c r="E25" s="16">
        <f t="shared" si="4"/>
        <v>0</v>
      </c>
      <c r="F25" s="17">
        <v>8</v>
      </c>
      <c r="G25" s="5"/>
      <c r="H25" s="24" t="s">
        <v>73</v>
      </c>
      <c r="I25" s="15" t="s">
        <v>43</v>
      </c>
      <c r="J25" s="15">
        <v>65</v>
      </c>
      <c r="K25" s="16">
        <f t="shared" si="5"/>
        <v>0</v>
      </c>
      <c r="L25" s="17">
        <v>9</v>
      </c>
      <c r="M25" s="4"/>
      <c r="N25" s="24" t="s">
        <v>44</v>
      </c>
      <c r="O25" s="15" t="s">
        <v>32</v>
      </c>
      <c r="P25" s="15">
        <v>28</v>
      </c>
      <c r="Q25" s="16">
        <f t="shared" si="6"/>
        <v>0</v>
      </c>
      <c r="R25" s="17">
        <v>232</v>
      </c>
      <c r="S25" s="5"/>
      <c r="T25" s="18"/>
      <c r="U25" s="19"/>
      <c r="V25" s="19"/>
      <c r="W25" s="16"/>
      <c r="X25" s="17"/>
      <c r="Y25" s="10" t="s">
        <v>12</v>
      </c>
    </row>
    <row r="26" spans="1:25" s="1" customFormat="1" ht="18.75" customHeight="1">
      <c r="A26" s="3" t="s">
        <v>15</v>
      </c>
      <c r="B26" s="24" t="s">
        <v>47</v>
      </c>
      <c r="C26" s="15" t="s">
        <v>38</v>
      </c>
      <c r="D26" s="15">
        <v>56</v>
      </c>
      <c r="E26" s="16">
        <f t="shared" si="4"/>
        <v>0</v>
      </c>
      <c r="F26" s="17">
        <v>111</v>
      </c>
      <c r="G26" s="5"/>
      <c r="H26" s="24" t="s">
        <v>35</v>
      </c>
      <c r="I26" s="15" t="s">
        <v>27</v>
      </c>
      <c r="J26" s="15">
        <v>54</v>
      </c>
      <c r="K26" s="16">
        <f t="shared" si="5"/>
        <v>0</v>
      </c>
      <c r="L26" s="17">
        <v>206</v>
      </c>
      <c r="M26" s="4"/>
      <c r="N26" s="24" t="s">
        <v>72</v>
      </c>
      <c r="O26" s="15" t="s">
        <v>29</v>
      </c>
      <c r="P26" s="15">
        <v>28</v>
      </c>
      <c r="Q26" s="16">
        <f t="shared" si="6"/>
        <v>0</v>
      </c>
      <c r="R26" s="17">
        <v>34</v>
      </c>
      <c r="S26" s="5"/>
      <c r="T26" s="18"/>
      <c r="U26" s="19"/>
      <c r="V26" s="15"/>
      <c r="W26" s="16"/>
      <c r="X26" s="17"/>
      <c r="Y26" s="10" t="s">
        <v>15</v>
      </c>
    </row>
    <row r="27" spans="1:25" s="1" customFormat="1" ht="18.75" customHeight="1">
      <c r="A27" s="3" t="s">
        <v>15</v>
      </c>
      <c r="B27" s="24" t="s">
        <v>52</v>
      </c>
      <c r="C27" s="15" t="s">
        <v>53</v>
      </c>
      <c r="D27" s="15">
        <v>35</v>
      </c>
      <c r="E27" s="16">
        <f t="shared" si="4"/>
        <v>0</v>
      </c>
      <c r="F27" s="17">
        <v>76</v>
      </c>
      <c r="G27" s="5"/>
      <c r="H27" s="24" t="s">
        <v>89</v>
      </c>
      <c r="I27" s="15" t="s">
        <v>29</v>
      </c>
      <c r="J27" s="15">
        <v>1</v>
      </c>
      <c r="K27" s="16">
        <f t="shared" si="5"/>
        <v>0</v>
      </c>
      <c r="L27" s="17">
        <v>8</v>
      </c>
      <c r="M27" s="4"/>
      <c r="N27" s="24" t="s">
        <v>77</v>
      </c>
      <c r="O27" s="15" t="s">
        <v>23</v>
      </c>
      <c r="P27" s="15">
        <v>15</v>
      </c>
      <c r="Q27" s="16">
        <f t="shared" si="6"/>
        <v>0</v>
      </c>
      <c r="R27" s="17">
        <v>19</v>
      </c>
      <c r="S27" s="5"/>
      <c r="T27" s="18"/>
      <c r="U27" s="19"/>
      <c r="V27" s="15"/>
      <c r="W27" s="16"/>
      <c r="X27" s="17"/>
      <c r="Y27" s="10" t="s">
        <v>15</v>
      </c>
    </row>
    <row r="28" spans="1:25" s="1" customFormat="1" ht="18.75" customHeight="1">
      <c r="A28" s="3" t="s">
        <v>15</v>
      </c>
      <c r="B28" s="24" t="s">
        <v>126</v>
      </c>
      <c r="C28" s="15" t="s">
        <v>92</v>
      </c>
      <c r="D28" s="15">
        <v>4</v>
      </c>
      <c r="E28" s="16">
        <f t="shared" si="4"/>
        <v>0</v>
      </c>
      <c r="F28" s="17">
        <v>4</v>
      </c>
      <c r="G28" s="5"/>
      <c r="H28" s="24" t="s">
        <v>119</v>
      </c>
      <c r="I28" s="15" t="s">
        <v>25</v>
      </c>
      <c r="J28" s="15">
        <v>3</v>
      </c>
      <c r="K28" s="16">
        <f t="shared" si="5"/>
        <v>0</v>
      </c>
      <c r="L28" s="17">
        <v>1</v>
      </c>
      <c r="M28" s="4"/>
      <c r="N28" s="24" t="s">
        <v>101</v>
      </c>
      <c r="O28" s="15" t="s">
        <v>43</v>
      </c>
      <c r="P28" s="15">
        <v>3</v>
      </c>
      <c r="Q28" s="16">
        <f t="shared" si="6"/>
        <v>0</v>
      </c>
      <c r="R28" s="17">
        <v>3</v>
      </c>
      <c r="S28" s="5"/>
      <c r="T28" s="18"/>
      <c r="U28" s="19"/>
      <c r="V28" s="15"/>
      <c r="W28" s="16">
        <f t="shared" ref="W28:W33" si="7">IF((V28&gt;0),0,1)</f>
        <v>1</v>
      </c>
      <c r="X28" s="17"/>
      <c r="Y28" s="10" t="s">
        <v>15</v>
      </c>
    </row>
    <row r="29" spans="1:25" s="1" customFormat="1" ht="18.75" customHeight="1">
      <c r="A29" s="3" t="s">
        <v>16</v>
      </c>
      <c r="B29" s="24" t="s">
        <v>58</v>
      </c>
      <c r="C29" s="15" t="s">
        <v>38</v>
      </c>
      <c r="D29" s="15">
        <v>30</v>
      </c>
      <c r="E29" s="16">
        <f t="shared" si="4"/>
        <v>0</v>
      </c>
      <c r="F29" s="17">
        <v>46</v>
      </c>
      <c r="G29" s="5"/>
      <c r="H29" s="24" t="s">
        <v>49</v>
      </c>
      <c r="I29" s="15" t="s">
        <v>38</v>
      </c>
      <c r="J29" s="15">
        <v>35</v>
      </c>
      <c r="K29" s="16">
        <f t="shared" si="5"/>
        <v>0</v>
      </c>
      <c r="L29" s="17">
        <v>171</v>
      </c>
      <c r="M29" s="4"/>
      <c r="N29" s="24" t="s">
        <v>63</v>
      </c>
      <c r="O29" s="15" t="s">
        <v>64</v>
      </c>
      <c r="P29" s="15">
        <v>27</v>
      </c>
      <c r="Q29" s="16">
        <f t="shared" si="6"/>
        <v>0</v>
      </c>
      <c r="R29" s="17">
        <v>177</v>
      </c>
      <c r="S29" s="5"/>
      <c r="T29" s="18"/>
      <c r="U29" s="19"/>
      <c r="V29" s="15"/>
      <c r="W29" s="16">
        <f t="shared" si="7"/>
        <v>1</v>
      </c>
      <c r="X29" s="17"/>
      <c r="Y29" s="10" t="s">
        <v>16</v>
      </c>
    </row>
    <row r="30" spans="1:25" s="1" customFormat="1" ht="18.75" customHeight="1">
      <c r="A30" s="3" t="s">
        <v>16</v>
      </c>
      <c r="B30" s="24" t="s">
        <v>90</v>
      </c>
      <c r="C30" s="15" t="s">
        <v>32</v>
      </c>
      <c r="D30" s="15">
        <v>1</v>
      </c>
      <c r="E30" s="16">
        <f t="shared" si="4"/>
        <v>0</v>
      </c>
      <c r="F30" s="17">
        <v>17</v>
      </c>
      <c r="G30" s="5"/>
      <c r="H30" s="24" t="s">
        <v>117</v>
      </c>
      <c r="I30" s="15" t="s">
        <v>25</v>
      </c>
      <c r="J30" s="15">
        <v>1</v>
      </c>
      <c r="K30" s="16">
        <f t="shared" si="5"/>
        <v>0</v>
      </c>
      <c r="L30" s="17">
        <v>4</v>
      </c>
      <c r="M30" s="4"/>
      <c r="N30" s="24" t="s">
        <v>86</v>
      </c>
      <c r="O30" s="15" t="s">
        <v>64</v>
      </c>
      <c r="P30" s="15">
        <v>9</v>
      </c>
      <c r="Q30" s="16">
        <f t="shared" si="6"/>
        <v>0</v>
      </c>
      <c r="R30" s="17">
        <v>10</v>
      </c>
      <c r="S30" s="5"/>
      <c r="T30" s="18"/>
      <c r="U30" s="19"/>
      <c r="V30" s="15"/>
      <c r="W30" s="16">
        <f t="shared" si="7"/>
        <v>1</v>
      </c>
      <c r="X30" s="17"/>
      <c r="Y30" s="10" t="s">
        <v>16</v>
      </c>
    </row>
    <row r="31" spans="1:25" s="1" customFormat="1" ht="18.75" customHeight="1">
      <c r="A31" s="3" t="s">
        <v>16</v>
      </c>
      <c r="B31" s="24" t="s">
        <v>122</v>
      </c>
      <c r="C31" s="15" t="s">
        <v>43</v>
      </c>
      <c r="D31" s="15">
        <v>1</v>
      </c>
      <c r="E31" s="16">
        <f t="shared" si="4"/>
        <v>0</v>
      </c>
      <c r="F31" s="17">
        <v>0</v>
      </c>
      <c r="G31" s="5"/>
      <c r="H31" s="24" t="s">
        <v>121</v>
      </c>
      <c r="I31" s="15" t="s">
        <v>23</v>
      </c>
      <c r="J31" s="15">
        <v>1</v>
      </c>
      <c r="K31" s="16">
        <f t="shared" si="5"/>
        <v>0</v>
      </c>
      <c r="L31" s="17">
        <v>0</v>
      </c>
      <c r="M31" s="4"/>
      <c r="N31" s="24" t="s">
        <v>98</v>
      </c>
      <c r="O31" s="15" t="s">
        <v>92</v>
      </c>
      <c r="P31" s="15">
        <v>4</v>
      </c>
      <c r="Q31" s="16">
        <f t="shared" si="6"/>
        <v>0</v>
      </c>
      <c r="R31" s="17">
        <v>6</v>
      </c>
      <c r="S31" s="5"/>
      <c r="T31" s="18"/>
      <c r="U31" s="19"/>
      <c r="V31" s="15"/>
      <c r="W31" s="16">
        <f t="shared" si="7"/>
        <v>1</v>
      </c>
      <c r="X31" s="17"/>
      <c r="Y31" s="10" t="s">
        <v>16</v>
      </c>
    </row>
    <row r="32" spans="1:25" s="1" customFormat="1" ht="18.75" customHeight="1">
      <c r="A32" s="3" t="s">
        <v>17</v>
      </c>
      <c r="B32" s="24" t="s">
        <v>110</v>
      </c>
      <c r="C32" s="15" t="s">
        <v>75</v>
      </c>
      <c r="D32" s="15">
        <v>2</v>
      </c>
      <c r="E32" s="16">
        <f t="shared" si="4"/>
        <v>0</v>
      </c>
      <c r="F32" s="17">
        <v>2</v>
      </c>
      <c r="G32" s="5"/>
      <c r="H32" s="24" t="s">
        <v>65</v>
      </c>
      <c r="I32" s="15" t="s">
        <v>25</v>
      </c>
      <c r="J32" s="15">
        <v>33</v>
      </c>
      <c r="K32" s="16">
        <f t="shared" si="5"/>
        <v>0</v>
      </c>
      <c r="L32" s="17">
        <v>74</v>
      </c>
      <c r="M32" s="4"/>
      <c r="N32" s="24" t="s">
        <v>108</v>
      </c>
      <c r="O32" s="15" t="s">
        <v>40</v>
      </c>
      <c r="P32" s="15">
        <v>2</v>
      </c>
      <c r="Q32" s="16">
        <f t="shared" si="6"/>
        <v>0</v>
      </c>
      <c r="R32" s="17">
        <v>0</v>
      </c>
      <c r="S32" s="5"/>
      <c r="T32" s="18"/>
      <c r="U32" s="19"/>
      <c r="V32" s="15"/>
      <c r="W32" s="16">
        <f t="shared" si="7"/>
        <v>1</v>
      </c>
      <c r="X32" s="17"/>
      <c r="Y32" s="10" t="s">
        <v>17</v>
      </c>
    </row>
    <row r="33" spans="1:25" s="1" customFormat="1" ht="18.75" customHeight="1">
      <c r="A33" s="3" t="s">
        <v>18</v>
      </c>
      <c r="B33" s="24" t="s">
        <v>91</v>
      </c>
      <c r="C33" s="15" t="s">
        <v>92</v>
      </c>
      <c r="D33" s="15">
        <v>8</v>
      </c>
      <c r="E33" s="16">
        <f t="shared" si="4"/>
        <v>0</v>
      </c>
      <c r="F33" s="17">
        <v>9</v>
      </c>
      <c r="G33" s="5"/>
      <c r="H33" s="24" t="s">
        <v>60</v>
      </c>
      <c r="I33" s="15" t="s">
        <v>38</v>
      </c>
      <c r="J33" s="15">
        <v>12</v>
      </c>
      <c r="K33" s="16">
        <f t="shared" si="5"/>
        <v>0</v>
      </c>
      <c r="L33" s="17">
        <v>107</v>
      </c>
      <c r="M33" s="4"/>
      <c r="N33" s="24" t="s">
        <v>68</v>
      </c>
      <c r="O33" s="15" t="s">
        <v>43</v>
      </c>
      <c r="P33" s="15">
        <v>8</v>
      </c>
      <c r="Q33" s="16">
        <f t="shared" si="6"/>
        <v>0</v>
      </c>
      <c r="R33" s="17">
        <v>119</v>
      </c>
      <c r="S33" s="5"/>
      <c r="T33" s="18"/>
      <c r="U33" s="19"/>
      <c r="V33" s="15"/>
      <c r="W33" s="16">
        <f t="shared" si="7"/>
        <v>1</v>
      </c>
      <c r="X33" s="17"/>
      <c r="Y33" s="10" t="s">
        <v>18</v>
      </c>
    </row>
    <row r="34" spans="1:25" ht="18.75" customHeight="1">
      <c r="D34" s="1">
        <f>SUM(D21:D33)</f>
        <v>260</v>
      </c>
      <c r="E34" s="1">
        <f>SUM(E21:E33)</f>
        <v>0</v>
      </c>
      <c r="F34" s="1">
        <f>260-D34</f>
        <v>0</v>
      </c>
      <c r="J34" s="1">
        <f>SUM(J21:J33)</f>
        <v>260</v>
      </c>
      <c r="K34" s="1">
        <f>SUM(K21:K33)</f>
        <v>0</v>
      </c>
      <c r="L34" s="1">
        <f>260-J34</f>
        <v>0</v>
      </c>
      <c r="P34" s="1">
        <f>SUM(P21:P33)</f>
        <v>260</v>
      </c>
      <c r="Q34" s="1">
        <f>SUM(Q21:Q33)</f>
        <v>0</v>
      </c>
      <c r="R34" s="1">
        <f>260-P34</f>
        <v>0</v>
      </c>
      <c r="V34" s="1"/>
      <c r="W34" s="1">
        <f>SUM(W21:W33)</f>
        <v>6</v>
      </c>
      <c r="X34" s="1"/>
    </row>
    <row r="35" spans="1:25">
      <c r="I35" s="9"/>
      <c r="J35" s="9"/>
    </row>
  </sheetData>
  <mergeCells count="9">
    <mergeCell ref="O19:R19"/>
    <mergeCell ref="I19:L19"/>
    <mergeCell ref="C19:F19"/>
    <mergeCell ref="B1:X1"/>
    <mergeCell ref="C2:F2"/>
    <mergeCell ref="I2:L2"/>
    <mergeCell ref="O2:R2"/>
    <mergeCell ref="U2:X2"/>
    <mergeCell ref="U19:X19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Owner</cp:lastModifiedBy>
  <cp:lastPrinted>2011-03-27T04:00:53Z</cp:lastPrinted>
  <dcterms:created xsi:type="dcterms:W3CDTF">1996-10-14T23:33:28Z</dcterms:created>
  <dcterms:modified xsi:type="dcterms:W3CDTF">2019-03-12T00:20:41Z</dcterms:modified>
</cp:coreProperties>
</file>