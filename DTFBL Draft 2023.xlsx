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est\Desktop\DTFBL 2023\"/>
    </mc:Choice>
  </mc:AlternateContent>
  <xr:revisionPtr revIDLastSave="0" documentId="13_ncr:1_{9D5A0155-7861-4C45-8459-9C21DE0BDE55}" xr6:coauthVersionLast="47" xr6:coauthVersionMax="47" xr10:uidLastSave="{00000000-0000-0000-0000-000000000000}"/>
  <bookViews>
    <workbookView xWindow="3615" yWindow="705" windowWidth="24360" windowHeight="155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0" i="1" l="1"/>
  <c r="K30" i="1"/>
  <c r="E30" i="1"/>
  <c r="W12" i="1"/>
  <c r="Q12" i="1"/>
  <c r="K12" i="1"/>
  <c r="E12" i="1"/>
  <c r="E31" i="1"/>
  <c r="K31" i="1"/>
  <c r="Q31" i="1"/>
  <c r="W4" i="1"/>
  <c r="W5" i="1"/>
  <c r="W6" i="1"/>
  <c r="W7" i="1"/>
  <c r="W8" i="1"/>
  <c r="W9" i="1"/>
  <c r="W10" i="1"/>
  <c r="W11" i="1"/>
  <c r="W13" i="1"/>
  <c r="W14" i="1"/>
  <c r="W15" i="1"/>
  <c r="W16" i="1"/>
  <c r="W17" i="1"/>
  <c r="Q22" i="1"/>
  <c r="Q35" i="1"/>
  <c r="Q34" i="1"/>
  <c r="Q33" i="1"/>
  <c r="Q32" i="1"/>
  <c r="Q29" i="1"/>
  <c r="Q28" i="1"/>
  <c r="Q27" i="1"/>
  <c r="Q26" i="1"/>
  <c r="Q25" i="1"/>
  <c r="Q24" i="1"/>
  <c r="Q23" i="1"/>
  <c r="Q17" i="1"/>
  <c r="Q16" i="1"/>
  <c r="Q15" i="1"/>
  <c r="Q14" i="1"/>
  <c r="Q13" i="1"/>
  <c r="Q11" i="1"/>
  <c r="Q10" i="1"/>
  <c r="Q9" i="1"/>
  <c r="Q8" i="1"/>
  <c r="Q7" i="1"/>
  <c r="Q6" i="1"/>
  <c r="Q5" i="1"/>
  <c r="Q4" i="1"/>
  <c r="K35" i="1"/>
  <c r="K34" i="1"/>
  <c r="K33" i="1"/>
  <c r="K32" i="1"/>
  <c r="K29" i="1"/>
  <c r="K28" i="1"/>
  <c r="K27" i="1"/>
  <c r="K26" i="1"/>
  <c r="K25" i="1"/>
  <c r="K24" i="1"/>
  <c r="K23" i="1"/>
  <c r="K17" i="1"/>
  <c r="K16" i="1"/>
  <c r="K15" i="1"/>
  <c r="K14" i="1"/>
  <c r="K13" i="1"/>
  <c r="K11" i="1"/>
  <c r="K10" i="1"/>
  <c r="K9" i="1"/>
  <c r="K8" i="1"/>
  <c r="K7" i="1"/>
  <c r="K6" i="1"/>
  <c r="K5" i="1"/>
  <c r="K4" i="1"/>
  <c r="E35" i="1"/>
  <c r="E34" i="1"/>
  <c r="E33" i="1"/>
  <c r="E32" i="1"/>
  <c r="E29" i="1"/>
  <c r="E28" i="1"/>
  <c r="E27" i="1"/>
  <c r="E26" i="1"/>
  <c r="E25" i="1"/>
  <c r="E24" i="1"/>
  <c r="E23" i="1"/>
  <c r="E22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U2" i="1" l="1"/>
  <c r="C2" i="1"/>
  <c r="I2" i="1"/>
  <c r="O2" i="1"/>
  <c r="P36" i="1"/>
  <c r="R36" i="1" s="1"/>
  <c r="J36" i="1"/>
  <c r="L36" i="1" s="1"/>
  <c r="D36" i="1"/>
  <c r="F36" i="1" s="1"/>
  <c r="V18" i="1"/>
  <c r="X18" i="1" s="1"/>
  <c r="P18" i="1"/>
  <c r="R18" i="1" s="1"/>
  <c r="J18" i="1"/>
  <c r="L18" i="1" s="1"/>
  <c r="D18" i="1"/>
  <c r="F18" i="1" s="1"/>
  <c r="C20" i="1" l="1"/>
  <c r="O20" i="1"/>
  <c r="I20" i="1"/>
  <c r="W18" i="1"/>
  <c r="Q36" i="1"/>
  <c r="E36" i="1"/>
  <c r="W36" i="1"/>
  <c r="K18" i="1"/>
  <c r="Q18" i="1"/>
  <c r="K36" i="1"/>
  <c r="E18" i="1"/>
</calcChain>
</file>

<file path=xl/sharedStrings.xml><?xml version="1.0" encoding="utf-8"?>
<sst xmlns="http://schemas.openxmlformats.org/spreadsheetml/2006/main" count="292" uniqueCount="136">
  <si>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</si>
  <si>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</si>
  <si>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</si>
  <si>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</si>
  <si>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</si>
  <si>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</si>
  <si>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</si>
  <si>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</si>
  <si>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</si>
  <si>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</si>
  <si>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</si>
  <si>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</si>
  <si>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</si>
  <si>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</si>
  <si>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</si>
  <si>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</si>
  <si>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</si>
  <si>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</si>
  <si>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</si>
  <si>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</si>
  <si>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</si>
  <si>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DH</t>
  </si>
  <si>
    <t>DownTown Fantasy Baseball League Draft 2023</t>
  </si>
  <si>
    <t>Trea Turner</t>
  </si>
  <si>
    <t>Phi</t>
  </si>
  <si>
    <t>Freddie Freeman</t>
  </si>
  <si>
    <t>LA</t>
  </si>
  <si>
    <t>Juan Soto</t>
  </si>
  <si>
    <t>SD</t>
  </si>
  <si>
    <t>Austin Riley</t>
  </si>
  <si>
    <t>Atl</t>
  </si>
  <si>
    <t>Xander Bogaerts</t>
  </si>
  <si>
    <t>Max Scherzer</t>
  </si>
  <si>
    <t>NYM</t>
  </si>
  <si>
    <t>Corbin Burnes</t>
  </si>
  <si>
    <t>Mil</t>
  </si>
  <si>
    <t>Dansby Swanson</t>
  </si>
  <si>
    <t>Chi</t>
  </si>
  <si>
    <t>Mookie Betts</t>
  </si>
  <si>
    <t>Sandy Alcantara</t>
  </si>
  <si>
    <t>Mia</t>
  </si>
  <si>
    <t>Manny Machado</t>
  </si>
  <si>
    <t>Pete Alonso</t>
  </si>
  <si>
    <t>Justin Verlander</t>
  </si>
  <si>
    <t>Ozzie Albies</t>
  </si>
  <si>
    <t>Kyle Schwarber</t>
  </si>
  <si>
    <t>Francisco Lindor</t>
  </si>
  <si>
    <t>William Contreras</t>
  </si>
  <si>
    <t>Matt Olson</t>
  </si>
  <si>
    <t>J.T. Realmuto</t>
  </si>
  <si>
    <t>Aaron Nola</t>
  </si>
  <si>
    <t>Paul Goldschmidt</t>
  </si>
  <si>
    <t>StL</t>
  </si>
  <si>
    <t>Raisel Iglesias</t>
  </si>
  <si>
    <t>Jonathan India</t>
  </si>
  <si>
    <t>Cin</t>
  </si>
  <si>
    <t>Michael Harris</t>
  </si>
  <si>
    <t>Jazz Chisholm</t>
  </si>
  <si>
    <t>Will Smith</t>
  </si>
  <si>
    <t>Max Fried</t>
  </si>
  <si>
    <t>Ronald Acuna</t>
  </si>
  <si>
    <t>Mike Yastrzemski</t>
  </si>
  <si>
    <t>SF</t>
  </si>
  <si>
    <t>J.D. Martinez</t>
  </si>
  <si>
    <t>Starling Marte</t>
  </si>
  <si>
    <t>Devin Williams</t>
  </si>
  <si>
    <t>Sean Murphy</t>
  </si>
  <si>
    <t>Spencer Strider</t>
  </si>
  <si>
    <t>Jesse Winker</t>
  </si>
  <si>
    <t>Christian Yelich</t>
  </si>
  <si>
    <t>Yu Darvish</t>
  </si>
  <si>
    <t>Joe Musgrove</t>
  </si>
  <si>
    <t>Bryce Harper</t>
  </si>
  <si>
    <t>Nolan Arenado</t>
  </si>
  <si>
    <t>Julio Urias</t>
  </si>
  <si>
    <t>Brandon Woodruff</t>
  </si>
  <si>
    <t>Brandon Nimmo</t>
  </si>
  <si>
    <t>Ha-Seong Kim</t>
  </si>
  <si>
    <t>Zach Wheeler</t>
  </si>
  <si>
    <t>Christian Walker</t>
  </si>
  <si>
    <t>Ari</t>
  </si>
  <si>
    <t>Wilson Contreras</t>
  </si>
  <si>
    <t>Logan Webb</t>
  </si>
  <si>
    <t>Rhys Hoskins</t>
  </si>
  <si>
    <t>Luis Arraez</t>
  </si>
  <si>
    <t>Josh Hader</t>
  </si>
  <si>
    <t>Daniel Bard</t>
  </si>
  <si>
    <t>Col</t>
  </si>
  <si>
    <t>David Robertson</t>
  </si>
  <si>
    <t>Tyler Stephenson</t>
  </si>
  <si>
    <t>Zac Gallen</t>
  </si>
  <si>
    <t>Fernando Tatis</t>
  </si>
  <si>
    <t>Ketel Marte</t>
  </si>
  <si>
    <t>Clayton Kershaw</t>
  </si>
  <si>
    <t>Ian Happ</t>
  </si>
  <si>
    <t>Jeff McNeil</t>
  </si>
  <si>
    <t>Keibert Ruiz</t>
  </si>
  <si>
    <t>Was</t>
  </si>
  <si>
    <t>David Bednar</t>
  </si>
  <si>
    <t>Pit</t>
  </si>
  <si>
    <t>Max Muncy</t>
  </si>
  <si>
    <t>Charlie Blackmon</t>
  </si>
  <si>
    <t>Ryan Helsley</t>
  </si>
  <si>
    <t>Nick Castellanos</t>
  </si>
  <si>
    <t>Michael Conforto</t>
  </si>
  <si>
    <t>Jorge Soler</t>
  </si>
  <si>
    <t>Ryan McMahon</t>
  </si>
  <si>
    <t>Charlie Morton</t>
  </si>
  <si>
    <t>Bryan Reynolds</t>
  </si>
  <si>
    <t>Tommy Edman</t>
  </si>
  <si>
    <t>Tyler O'Neill</t>
  </si>
  <si>
    <t>Camilo Doval</t>
  </si>
  <si>
    <t>Jon Montgomery</t>
  </si>
  <si>
    <t>Ke'Bryan Hayes</t>
  </si>
  <si>
    <t>Mitch Haniger</t>
  </si>
  <si>
    <t>Jameson Taillon</t>
  </si>
  <si>
    <t>Hunter Greene</t>
  </si>
  <si>
    <t>Corbin Carroll</t>
  </si>
  <si>
    <t>Joc Pederson</t>
  </si>
  <si>
    <t>Willy Adames</t>
  </si>
  <si>
    <t>Kris Bryant</t>
  </si>
  <si>
    <t>Alexis Diaz</t>
  </si>
  <si>
    <t>Blake Snell</t>
  </si>
  <si>
    <t>Mark Canha</t>
  </si>
  <si>
    <t>Josh Rojas</t>
  </si>
  <si>
    <t>Craig Kimbrel</t>
  </si>
  <si>
    <t>Brandon Hughes</t>
  </si>
  <si>
    <t>Dylan Floro</t>
  </si>
  <si>
    <t>Kodai Senga</t>
  </si>
  <si>
    <t>Oneil Cruz</t>
  </si>
  <si>
    <t>Jesus Luzardo</t>
  </si>
  <si>
    <t>Kyle Wright</t>
  </si>
  <si>
    <t>Rowdy Tellez</t>
  </si>
  <si>
    <t>Brandon Donovan</t>
  </si>
  <si>
    <t>Jake McCarthy</t>
  </si>
  <si>
    <t>Andrew McCutchen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</si>
</sst>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2" xfId="0" applyFont="1" applyBorder="1" applyAlignment="1">
      <alignment horizontal="right"/>
    </xf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1" applyNumberFormat="1" applyFont="1" applyBorder="1" applyAlignment="1"/>
    <xf numFmtId="0" fontId="2" fillId="0" borderId="4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1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zoomScale="85" zoomScaleNormal="85" workbookViewId="0">
      <selection activeCell="M11" sqref="M11"/>
    </sheetView>
  </sheetViews>
  <sheetFormatPr defaultRowHeight="12.75" x14ac:dyDescent="0.2"/>
  <cols>
    <col min="1" max="1" width="9.85546875" customWidth="1"/>
    <col min="2" max="2" width="23.42578125" customWidth="1"/>
    <col min="3" max="3" width="7.42578125" customWidth="1"/>
    <col min="4" max="4" width="6.140625" customWidth="1"/>
    <col min="5" max="5" width="7.42578125" hidden="1" customWidth="1"/>
    <col min="6" max="6" width="10.42578125" bestFit="1" customWidth="1"/>
    <col min="7" max="7" width="1.140625" customWidth="1"/>
    <col min="8" max="8" width="23.42578125" customWidth="1"/>
    <col min="9" max="9" width="7.42578125" customWidth="1"/>
    <col min="10" max="10" width="7" customWidth="1"/>
    <col min="11" max="11" width="7.42578125" hidden="1" customWidth="1"/>
    <col min="12" max="12" width="10.42578125" bestFit="1" customWidth="1"/>
    <col min="13" max="13" width="1.140625" customWidth="1"/>
    <col min="14" max="14" width="23.42578125" bestFit="1" customWidth="1"/>
    <col min="15" max="15" width="7.42578125" customWidth="1"/>
    <col min="16" max="16" width="6.85546875" customWidth="1"/>
    <col min="17" max="17" width="7.42578125" hidden="1" customWidth="1"/>
    <col min="18" max="18" width="10.42578125" bestFit="1" customWidth="1"/>
    <col min="19" max="19" width="1.140625" customWidth="1"/>
    <col min="20" max="20" width="23.42578125" customWidth="1"/>
    <col min="21" max="21" width="7.42578125" customWidth="1"/>
    <col min="22" max="22" width="6.7109375" customWidth="1"/>
    <col min="23" max="23" width="7.42578125" hidden="1" customWidth="1"/>
    <col min="24" max="24" width="10.42578125" bestFit="1" customWidth="1"/>
    <col min="25" max="25" width="13.5703125" bestFit="1" customWidth="1"/>
    <col min="26" max="26" width="6.42578125" customWidth="1"/>
    <col min="27" max="27" width="18.7109375" customWidth="1"/>
    <col min="28" max="29" width="6.42578125" customWidth="1"/>
    <col min="30" max="30" width="18.7109375" customWidth="1"/>
    <col min="31" max="32" width="6.42578125" customWidth="1"/>
    <col min="33" max="33" width="18.7109375" customWidth="1"/>
    <col min="34" max="35" width="6.42578125" customWidth="1"/>
  </cols>
  <sheetData>
    <row r="1" spans="1:25" ht="30" x14ac:dyDescent="0.4">
      <c r="B1" s="21" t="s">
        <v>22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5" s="1" customFormat="1" ht="18.75" customHeight="1" x14ac:dyDescent="0.2">
      <c r="B2" s="5" t="s">
        <v>20</v>
      </c>
      <c r="C2" s="22">
        <f>260-SUM(D4:D17)-SUM(E4:E17)+1</f>
        <v>1</v>
      </c>
      <c r="D2" s="22"/>
      <c r="E2" s="22"/>
      <c r="F2" s="22"/>
      <c r="G2" s="9"/>
      <c r="H2" s="8" t="s">
        <v>20</v>
      </c>
      <c r="I2" s="22">
        <f>260-SUM(J4:J17)-SUM(K4:K17)+1</f>
        <v>1</v>
      </c>
      <c r="J2" s="22"/>
      <c r="K2" s="22"/>
      <c r="L2" s="22"/>
      <c r="M2" s="9"/>
      <c r="N2" s="8" t="s">
        <v>20</v>
      </c>
      <c r="O2" s="22">
        <f>260-SUM(P4:P17)-SUM(Q4:Q17)+1</f>
        <v>1</v>
      </c>
      <c r="P2" s="22"/>
      <c r="Q2" s="22"/>
      <c r="R2" s="22"/>
      <c r="S2" s="9"/>
      <c r="T2" s="8" t="s">
        <v>20</v>
      </c>
      <c r="U2" s="22">
        <f>260-SUM(V4:V17)-SUM(W4:W17)+1</f>
        <v>1</v>
      </c>
      <c r="V2" s="22"/>
      <c r="W2" s="22"/>
      <c r="X2" s="22"/>
    </row>
    <row r="3" spans="1:25" s="1" customFormat="1" ht="18.75" customHeight="1" x14ac:dyDescent="0.25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2" t="s">
        <v>8</v>
      </c>
      <c r="K3" s="2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2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 x14ac:dyDescent="0.25">
      <c r="A4" s="3" t="s">
        <v>14</v>
      </c>
      <c r="B4" s="13" t="s">
        <v>89</v>
      </c>
      <c r="C4" s="14" t="s">
        <v>55</v>
      </c>
      <c r="D4" s="14">
        <v>12</v>
      </c>
      <c r="E4" s="15">
        <f t="shared" ref="E4:E17" si="0">IF(D4&gt;0, 0, 1)</f>
        <v>0</v>
      </c>
      <c r="F4" s="17">
        <v>103</v>
      </c>
      <c r="G4" s="5"/>
      <c r="H4" s="13" t="s">
        <v>49</v>
      </c>
      <c r="I4" s="14" t="s">
        <v>24</v>
      </c>
      <c r="J4" s="14">
        <v>30</v>
      </c>
      <c r="K4" s="16">
        <f t="shared" ref="K4:K17" si="1">IF(J4&gt;0, 0, 1)</f>
        <v>0</v>
      </c>
      <c r="L4" s="17">
        <v>122</v>
      </c>
      <c r="M4" s="4"/>
      <c r="N4" s="13" t="s">
        <v>47</v>
      </c>
      <c r="O4" s="14" t="s">
        <v>35</v>
      </c>
      <c r="P4" s="14">
        <v>3</v>
      </c>
      <c r="Q4" s="15">
        <f>IF(P4&gt;0, 0, 1)</f>
        <v>0</v>
      </c>
      <c r="R4" s="17">
        <v>51</v>
      </c>
      <c r="T4" s="13" t="s">
        <v>58</v>
      </c>
      <c r="U4" s="14" t="s">
        <v>26</v>
      </c>
      <c r="V4" s="14">
        <v>22</v>
      </c>
      <c r="W4" s="15">
        <f t="shared" ref="W4:W17" si="2">IF(V4&gt;0, 0, 1)</f>
        <v>0</v>
      </c>
      <c r="X4" s="17">
        <v>124</v>
      </c>
      <c r="Y4" s="7" t="s">
        <v>14</v>
      </c>
    </row>
    <row r="5" spans="1:25" s="1" customFormat="1" ht="18.75" customHeight="1" x14ac:dyDescent="0.25">
      <c r="A5" s="3" t="s">
        <v>10</v>
      </c>
      <c r="B5" s="13" t="s">
        <v>42</v>
      </c>
      <c r="C5" s="14" t="s">
        <v>33</v>
      </c>
      <c r="D5" s="14">
        <v>57</v>
      </c>
      <c r="E5" s="15">
        <f t="shared" si="0"/>
        <v>0</v>
      </c>
      <c r="F5" s="17">
        <v>133</v>
      </c>
      <c r="G5" s="5"/>
      <c r="H5" s="13" t="s">
        <v>83</v>
      </c>
      <c r="I5" s="14" t="s">
        <v>24</v>
      </c>
      <c r="J5" s="14">
        <v>1</v>
      </c>
      <c r="K5" s="16">
        <f t="shared" si="1"/>
        <v>0</v>
      </c>
      <c r="L5" s="17">
        <v>84</v>
      </c>
      <c r="M5" s="4"/>
      <c r="N5" s="13" t="s">
        <v>132</v>
      </c>
      <c r="O5" s="14" t="s">
        <v>35</v>
      </c>
      <c r="P5" s="14">
        <v>1</v>
      </c>
      <c r="Q5" s="15">
        <f t="shared" ref="Q5:Q17" si="3">IF(P5&gt;0, 0, 1)</f>
        <v>0</v>
      </c>
      <c r="R5" s="17">
        <v>3</v>
      </c>
      <c r="T5" s="13" t="s">
        <v>48</v>
      </c>
      <c r="U5" s="14" t="s">
        <v>30</v>
      </c>
      <c r="V5" s="14">
        <v>43</v>
      </c>
      <c r="W5" s="15">
        <f t="shared" si="2"/>
        <v>0</v>
      </c>
      <c r="X5" s="17">
        <v>146</v>
      </c>
      <c r="Y5" s="7" t="s">
        <v>10</v>
      </c>
    </row>
    <row r="6" spans="1:25" s="1" customFormat="1" ht="18.75" customHeight="1" x14ac:dyDescent="0.25">
      <c r="A6" s="3" t="s">
        <v>11</v>
      </c>
      <c r="B6" s="13" t="s">
        <v>92</v>
      </c>
      <c r="C6" s="14" t="s">
        <v>80</v>
      </c>
      <c r="D6" s="14">
        <v>2</v>
      </c>
      <c r="E6" s="15">
        <f t="shared" si="0"/>
        <v>0</v>
      </c>
      <c r="F6" s="17">
        <v>73</v>
      </c>
      <c r="G6" s="5"/>
      <c r="H6" s="13" t="s">
        <v>54</v>
      </c>
      <c r="I6" s="14" t="s">
        <v>55</v>
      </c>
      <c r="J6" s="14">
        <v>22</v>
      </c>
      <c r="K6" s="16">
        <f t="shared" si="1"/>
        <v>0</v>
      </c>
      <c r="L6" s="17">
        <v>100</v>
      </c>
      <c r="M6" s="4"/>
      <c r="N6" s="13" t="s">
        <v>133</v>
      </c>
      <c r="O6" s="14" t="s">
        <v>52</v>
      </c>
      <c r="P6" s="14">
        <v>1</v>
      </c>
      <c r="Q6" s="15">
        <f t="shared" si="3"/>
        <v>0</v>
      </c>
      <c r="R6" s="17">
        <v>2</v>
      </c>
      <c r="T6" s="13" t="s">
        <v>77</v>
      </c>
      <c r="U6" s="14" t="s">
        <v>28</v>
      </c>
      <c r="V6" s="14">
        <v>1</v>
      </c>
      <c r="W6" s="15">
        <f t="shared" si="2"/>
        <v>0</v>
      </c>
      <c r="X6" s="17">
        <v>47</v>
      </c>
      <c r="Y6" s="7" t="s">
        <v>11</v>
      </c>
    </row>
    <row r="7" spans="1:25" s="1" customFormat="1" ht="18.75" customHeight="1" x14ac:dyDescent="0.25">
      <c r="A7" s="3" t="s">
        <v>13</v>
      </c>
      <c r="B7" s="13" t="s">
        <v>119</v>
      </c>
      <c r="C7" s="14" t="s">
        <v>35</v>
      </c>
      <c r="D7" s="14">
        <v>19</v>
      </c>
      <c r="E7" s="15">
        <f t="shared" si="0"/>
        <v>0</v>
      </c>
      <c r="F7" s="17">
        <v>16</v>
      </c>
      <c r="G7" s="5"/>
      <c r="H7" s="13" t="s">
        <v>23</v>
      </c>
      <c r="I7" s="14" t="s">
        <v>24</v>
      </c>
      <c r="J7" s="14">
        <v>67</v>
      </c>
      <c r="K7" s="16">
        <f t="shared" si="1"/>
        <v>0</v>
      </c>
      <c r="L7" s="17">
        <v>193</v>
      </c>
      <c r="M7" s="4"/>
      <c r="N7" s="13" t="s">
        <v>36</v>
      </c>
      <c r="O7" s="14" t="s">
        <v>37</v>
      </c>
      <c r="P7" s="14">
        <v>32</v>
      </c>
      <c r="Q7" s="15">
        <f t="shared" si="3"/>
        <v>0</v>
      </c>
      <c r="R7" s="17">
        <v>124</v>
      </c>
      <c r="T7" s="13" t="s">
        <v>109</v>
      </c>
      <c r="U7" s="14" t="s">
        <v>52</v>
      </c>
      <c r="V7" s="14">
        <v>1</v>
      </c>
      <c r="W7" s="15">
        <f t="shared" si="2"/>
        <v>0</v>
      </c>
      <c r="X7" s="17">
        <v>32</v>
      </c>
      <c r="Y7" s="7" t="s">
        <v>13</v>
      </c>
    </row>
    <row r="8" spans="1:25" s="1" customFormat="1" ht="18.75" customHeight="1" x14ac:dyDescent="0.25">
      <c r="A8" s="3" t="s">
        <v>12</v>
      </c>
      <c r="B8" s="13" t="s">
        <v>113</v>
      </c>
      <c r="C8" s="14" t="s">
        <v>99</v>
      </c>
      <c r="D8" s="14">
        <v>5</v>
      </c>
      <c r="E8" s="15">
        <f t="shared" si="0"/>
        <v>0</v>
      </c>
      <c r="F8" s="17">
        <v>35</v>
      </c>
      <c r="G8" s="5"/>
      <c r="H8" s="13" t="s">
        <v>100</v>
      </c>
      <c r="I8" s="14" t="s">
        <v>26</v>
      </c>
      <c r="J8" s="14">
        <v>35</v>
      </c>
      <c r="K8" s="16">
        <f t="shared" si="1"/>
        <v>0</v>
      </c>
      <c r="L8" s="17">
        <v>8</v>
      </c>
      <c r="M8" s="4"/>
      <c r="N8" s="13" t="s">
        <v>29</v>
      </c>
      <c r="O8" s="14" t="s">
        <v>30</v>
      </c>
      <c r="P8" s="14">
        <v>66</v>
      </c>
      <c r="Q8" s="15">
        <f t="shared" si="3"/>
        <v>0</v>
      </c>
      <c r="R8" s="17">
        <v>194</v>
      </c>
      <c r="T8" s="13" t="s">
        <v>106</v>
      </c>
      <c r="U8" s="14" t="s">
        <v>87</v>
      </c>
      <c r="V8" s="14">
        <v>10</v>
      </c>
      <c r="W8" s="15">
        <f t="shared" si="2"/>
        <v>0</v>
      </c>
      <c r="X8" s="17">
        <v>37</v>
      </c>
      <c r="Y8" s="7" t="s">
        <v>12</v>
      </c>
    </row>
    <row r="9" spans="1:25" s="1" customFormat="1" ht="18.75" customHeight="1" x14ac:dyDescent="0.25">
      <c r="A9" s="3" t="s">
        <v>15</v>
      </c>
      <c r="B9" s="13" t="s">
        <v>38</v>
      </c>
      <c r="C9" s="14" t="s">
        <v>26</v>
      </c>
      <c r="D9" s="14">
        <v>70</v>
      </c>
      <c r="E9" s="15">
        <f t="shared" si="0"/>
        <v>0</v>
      </c>
      <c r="F9" s="17">
        <v>190</v>
      </c>
      <c r="G9" s="5"/>
      <c r="H9" s="13" t="s">
        <v>114</v>
      </c>
      <c r="I9" s="14" t="s">
        <v>62</v>
      </c>
      <c r="J9" s="14">
        <v>1</v>
      </c>
      <c r="K9" s="16">
        <f t="shared" si="1"/>
        <v>0</v>
      </c>
      <c r="L9" s="17">
        <v>4</v>
      </c>
      <c r="M9" s="4"/>
      <c r="N9" s="13" t="s">
        <v>45</v>
      </c>
      <c r="O9" s="14" t="s">
        <v>24</v>
      </c>
      <c r="P9" s="14">
        <v>70</v>
      </c>
      <c r="Q9" s="15">
        <f t="shared" si="3"/>
        <v>0</v>
      </c>
      <c r="R9" s="17">
        <v>54</v>
      </c>
      <c r="T9" s="13" t="s">
        <v>27</v>
      </c>
      <c r="U9" s="14" t="s">
        <v>28</v>
      </c>
      <c r="V9" s="14">
        <v>71</v>
      </c>
      <c r="W9" s="15">
        <f t="shared" si="2"/>
        <v>0</v>
      </c>
      <c r="X9" s="17">
        <v>189</v>
      </c>
      <c r="Y9" s="7" t="s">
        <v>15</v>
      </c>
    </row>
    <row r="10" spans="1:25" s="1" customFormat="1" ht="18.75" customHeight="1" x14ac:dyDescent="0.25">
      <c r="A10" s="3" t="s">
        <v>15</v>
      </c>
      <c r="B10" s="13" t="s">
        <v>91</v>
      </c>
      <c r="C10" s="14" t="s">
        <v>28</v>
      </c>
      <c r="D10" s="14">
        <v>27</v>
      </c>
      <c r="E10" s="15">
        <f t="shared" si="0"/>
        <v>0</v>
      </c>
      <c r="F10" s="17">
        <v>75</v>
      </c>
      <c r="G10" s="5"/>
      <c r="H10" s="13" t="s">
        <v>120</v>
      </c>
      <c r="I10" s="14" t="s">
        <v>87</v>
      </c>
      <c r="J10" s="14">
        <v>1</v>
      </c>
      <c r="K10" s="16">
        <f t="shared" si="1"/>
        <v>0</v>
      </c>
      <c r="L10" s="17">
        <v>3</v>
      </c>
      <c r="M10" s="4"/>
      <c r="N10" s="13" t="s">
        <v>134</v>
      </c>
      <c r="O10" s="14" t="s">
        <v>80</v>
      </c>
      <c r="P10" s="14">
        <v>1</v>
      </c>
      <c r="Q10" s="15">
        <f t="shared" si="3"/>
        <v>0</v>
      </c>
      <c r="R10" s="17">
        <v>1</v>
      </c>
      <c r="T10" s="13" t="s">
        <v>69</v>
      </c>
      <c r="U10" s="14" t="s">
        <v>35</v>
      </c>
      <c r="V10" s="14">
        <v>36</v>
      </c>
      <c r="W10" s="15">
        <f t="shared" si="2"/>
        <v>0</v>
      </c>
      <c r="X10" s="17">
        <v>60</v>
      </c>
      <c r="Y10" s="7" t="s">
        <v>15</v>
      </c>
    </row>
    <row r="11" spans="1:25" s="1" customFormat="1" ht="18.75" customHeight="1" x14ac:dyDescent="0.25">
      <c r="A11" s="3" t="s">
        <v>15</v>
      </c>
      <c r="B11" s="13" t="s">
        <v>103</v>
      </c>
      <c r="C11" s="14" t="s">
        <v>24</v>
      </c>
      <c r="D11" s="14">
        <v>7</v>
      </c>
      <c r="E11" s="15">
        <f t="shared" si="0"/>
        <v>0</v>
      </c>
      <c r="F11" s="17">
        <v>40</v>
      </c>
      <c r="G11" s="5"/>
      <c r="H11" s="13" t="s">
        <v>123</v>
      </c>
      <c r="I11" s="14" t="s">
        <v>33</v>
      </c>
      <c r="J11" s="14">
        <v>3</v>
      </c>
      <c r="K11" s="16">
        <f t="shared" si="1"/>
        <v>0</v>
      </c>
      <c r="L11" s="17">
        <v>0</v>
      </c>
      <c r="M11" s="4"/>
      <c r="N11" s="13" t="s">
        <v>135</v>
      </c>
      <c r="O11" s="14" t="s">
        <v>99</v>
      </c>
      <c r="P11" s="14">
        <v>1</v>
      </c>
      <c r="Q11" s="15">
        <f t="shared" si="3"/>
        <v>0</v>
      </c>
      <c r="R11" s="17">
        <v>0</v>
      </c>
      <c r="T11" s="13" t="s">
        <v>108</v>
      </c>
      <c r="U11" s="14" t="s">
        <v>99</v>
      </c>
      <c r="V11" s="14">
        <v>4</v>
      </c>
      <c r="W11" s="15">
        <f t="shared" si="2"/>
        <v>0</v>
      </c>
      <c r="X11" s="17">
        <v>33</v>
      </c>
      <c r="Y11" s="7" t="s">
        <v>15</v>
      </c>
    </row>
    <row r="12" spans="1:25" s="1" customFormat="1" ht="18.75" customHeight="1" x14ac:dyDescent="0.25">
      <c r="A12" s="3" t="s">
        <v>21</v>
      </c>
      <c r="B12" s="13" t="s">
        <v>72</v>
      </c>
      <c r="C12" s="14" t="s">
        <v>24</v>
      </c>
      <c r="D12" s="14">
        <v>10</v>
      </c>
      <c r="E12" s="15">
        <f t="shared" ref="E12" si="4">IF(D12&gt;0, 0, 1)</f>
        <v>0</v>
      </c>
      <c r="F12" s="17">
        <v>123</v>
      </c>
      <c r="G12" s="5"/>
      <c r="H12" s="13" t="s">
        <v>101</v>
      </c>
      <c r="I12" s="14" t="s">
        <v>87</v>
      </c>
      <c r="J12" s="14">
        <v>2</v>
      </c>
      <c r="K12" s="16">
        <f t="shared" ref="K12" si="5">IF(J12&gt;0, 0, 1)</f>
        <v>0</v>
      </c>
      <c r="L12" s="17">
        <v>6</v>
      </c>
      <c r="M12" s="4"/>
      <c r="N12" s="13" t="s">
        <v>68</v>
      </c>
      <c r="O12" s="14" t="s">
        <v>35</v>
      </c>
      <c r="P12" s="14">
        <v>8</v>
      </c>
      <c r="Q12" s="15">
        <f t="shared" ref="Q12" si="6">IF(P12&gt;0, 0, 1)</f>
        <v>0</v>
      </c>
      <c r="R12" s="17">
        <v>7</v>
      </c>
      <c r="T12" s="13" t="s">
        <v>63</v>
      </c>
      <c r="U12" s="14" t="s">
        <v>26</v>
      </c>
      <c r="V12" s="14">
        <v>12</v>
      </c>
      <c r="W12" s="15">
        <f t="shared" ref="W12" si="7">IF(V12&gt;0, 0, 1)</f>
        <v>0</v>
      </c>
      <c r="X12" s="17">
        <v>112</v>
      </c>
      <c r="Y12" s="7" t="s">
        <v>21</v>
      </c>
    </row>
    <row r="13" spans="1:25" s="1" customFormat="1" ht="18.75" customHeight="1" x14ac:dyDescent="0.25">
      <c r="A13" s="3" t="s">
        <v>16</v>
      </c>
      <c r="B13" s="13" t="s">
        <v>78</v>
      </c>
      <c r="C13" s="14" t="s">
        <v>24</v>
      </c>
      <c r="D13" s="14">
        <v>8</v>
      </c>
      <c r="E13" s="15">
        <f t="shared" si="0"/>
        <v>0</v>
      </c>
      <c r="F13" s="17">
        <v>115</v>
      </c>
      <c r="G13" s="5"/>
      <c r="H13" s="13" t="s">
        <v>34</v>
      </c>
      <c r="I13" s="14" t="s">
        <v>35</v>
      </c>
      <c r="J13" s="14">
        <v>41</v>
      </c>
      <c r="K13" s="16">
        <f t="shared" si="1"/>
        <v>0</v>
      </c>
      <c r="L13" s="17">
        <v>152</v>
      </c>
      <c r="M13" s="4"/>
      <c r="N13" s="13" t="s">
        <v>32</v>
      </c>
      <c r="O13" s="14" t="s">
        <v>33</v>
      </c>
      <c r="P13" s="14">
        <v>38</v>
      </c>
      <c r="Q13" s="15">
        <f t="shared" si="3"/>
        <v>0</v>
      </c>
      <c r="R13" s="17">
        <v>156</v>
      </c>
      <c r="T13" s="13" t="s">
        <v>67</v>
      </c>
      <c r="U13" s="14" t="s">
        <v>30</v>
      </c>
      <c r="V13" s="14">
        <v>16</v>
      </c>
      <c r="W13" s="15">
        <f t="shared" si="2"/>
        <v>0</v>
      </c>
      <c r="X13" s="17">
        <v>96</v>
      </c>
      <c r="Y13" s="7" t="s">
        <v>16</v>
      </c>
    </row>
    <row r="14" spans="1:25" s="1" customFormat="1" ht="18.75" customHeight="1" x14ac:dyDescent="0.25">
      <c r="A14" s="3" t="s">
        <v>16</v>
      </c>
      <c r="B14" s="13" t="s">
        <v>90</v>
      </c>
      <c r="C14" s="14" t="s">
        <v>80</v>
      </c>
      <c r="D14" s="14">
        <v>1</v>
      </c>
      <c r="E14" s="15">
        <f t="shared" si="0"/>
        <v>0</v>
      </c>
      <c r="F14" s="17">
        <v>102</v>
      </c>
      <c r="G14" s="5"/>
      <c r="H14" s="13" t="s">
        <v>70</v>
      </c>
      <c r="I14" s="14" t="s">
        <v>28</v>
      </c>
      <c r="J14" s="14">
        <v>15</v>
      </c>
      <c r="K14" s="16">
        <f t="shared" si="1"/>
        <v>0</v>
      </c>
      <c r="L14" s="17">
        <v>85</v>
      </c>
      <c r="M14" s="4"/>
      <c r="N14" s="13" t="s">
        <v>50</v>
      </c>
      <c r="O14" s="14" t="s">
        <v>24</v>
      </c>
      <c r="P14" s="14">
        <v>36</v>
      </c>
      <c r="Q14" s="15">
        <f t="shared" si="3"/>
        <v>0</v>
      </c>
      <c r="R14" s="17">
        <v>15</v>
      </c>
      <c r="T14" s="13" t="s">
        <v>74</v>
      </c>
      <c r="U14" s="14" t="s">
        <v>26</v>
      </c>
      <c r="V14" s="14">
        <v>12</v>
      </c>
      <c r="W14" s="15">
        <f t="shared" si="2"/>
        <v>0</v>
      </c>
      <c r="X14" s="17">
        <v>48</v>
      </c>
      <c r="Y14" s="7" t="s">
        <v>16</v>
      </c>
    </row>
    <row r="15" spans="1:25" s="1" customFormat="1" ht="18.75" customHeight="1" x14ac:dyDescent="0.25">
      <c r="A15" s="3" t="s">
        <v>16</v>
      </c>
      <c r="B15" s="13" t="s">
        <v>130</v>
      </c>
      <c r="C15" s="14" t="s">
        <v>40</v>
      </c>
      <c r="D15" s="14">
        <v>15</v>
      </c>
      <c r="E15" s="15">
        <f t="shared" si="0"/>
        <v>0</v>
      </c>
      <c r="F15" s="17">
        <v>0</v>
      </c>
      <c r="G15" s="5"/>
      <c r="H15" s="13" t="s">
        <v>107</v>
      </c>
      <c r="I15" s="14" t="s">
        <v>30</v>
      </c>
      <c r="J15" s="14">
        <v>1</v>
      </c>
      <c r="K15" s="16">
        <f t="shared" si="1"/>
        <v>0</v>
      </c>
      <c r="L15" s="17">
        <v>5</v>
      </c>
      <c r="M15" s="4"/>
      <c r="N15" s="13" t="s">
        <v>115</v>
      </c>
      <c r="O15" s="14" t="s">
        <v>37</v>
      </c>
      <c r="P15" s="14">
        <v>1</v>
      </c>
      <c r="Q15" s="15">
        <f t="shared" si="3"/>
        <v>0</v>
      </c>
      <c r="R15" s="17">
        <v>6</v>
      </c>
      <c r="T15" s="13" t="s">
        <v>116</v>
      </c>
      <c r="U15" s="14" t="s">
        <v>55</v>
      </c>
      <c r="V15" s="14">
        <v>1</v>
      </c>
      <c r="W15" s="15">
        <f t="shared" si="2"/>
        <v>0</v>
      </c>
      <c r="X15" s="17">
        <v>31</v>
      </c>
      <c r="Y15" s="7" t="s">
        <v>16</v>
      </c>
    </row>
    <row r="16" spans="1:25" s="1" customFormat="1" ht="18.75" customHeight="1" x14ac:dyDescent="0.25">
      <c r="A16" s="3" t="s">
        <v>17</v>
      </c>
      <c r="B16" s="13" t="s">
        <v>126</v>
      </c>
      <c r="C16" s="14" t="s">
        <v>37</v>
      </c>
      <c r="D16" s="14">
        <v>1</v>
      </c>
      <c r="E16" s="15">
        <f t="shared" si="0"/>
        <v>0</v>
      </c>
      <c r="F16" s="17">
        <v>15</v>
      </c>
      <c r="G16" s="5"/>
      <c r="H16" s="13" t="s">
        <v>88</v>
      </c>
      <c r="I16" s="14" t="s">
        <v>33</v>
      </c>
      <c r="J16" s="14">
        <v>6</v>
      </c>
      <c r="K16" s="16">
        <f t="shared" si="1"/>
        <v>0</v>
      </c>
      <c r="L16" s="17">
        <v>43</v>
      </c>
      <c r="M16" s="4"/>
      <c r="N16" s="13" t="s">
        <v>131</v>
      </c>
      <c r="O16" s="14" t="s">
        <v>30</v>
      </c>
      <c r="P16" s="14">
        <v>1</v>
      </c>
      <c r="Q16" s="15">
        <f t="shared" si="3"/>
        <v>0</v>
      </c>
      <c r="R16" s="17">
        <v>4</v>
      </c>
      <c r="T16" s="13" t="s">
        <v>122</v>
      </c>
      <c r="U16" s="14" t="s">
        <v>28</v>
      </c>
      <c r="V16" s="14">
        <v>12</v>
      </c>
      <c r="W16" s="15">
        <f t="shared" si="2"/>
        <v>0</v>
      </c>
      <c r="X16" s="17">
        <v>0</v>
      </c>
      <c r="Y16" s="7" t="s">
        <v>17</v>
      </c>
    </row>
    <row r="17" spans="1:25" s="1" customFormat="1" ht="18.75" customHeight="1" x14ac:dyDescent="0.25">
      <c r="A17" s="3" t="s">
        <v>18</v>
      </c>
      <c r="B17" s="13" t="s">
        <v>102</v>
      </c>
      <c r="C17" s="14" t="s">
        <v>52</v>
      </c>
      <c r="D17" s="14">
        <v>26</v>
      </c>
      <c r="E17" s="15">
        <f t="shared" si="0"/>
        <v>0</v>
      </c>
      <c r="F17" s="17">
        <v>47</v>
      </c>
      <c r="G17" s="5"/>
      <c r="H17" s="13" t="s">
        <v>85</v>
      </c>
      <c r="I17" s="14" t="s">
        <v>28</v>
      </c>
      <c r="J17" s="14">
        <v>35</v>
      </c>
      <c r="K17" s="16">
        <f t="shared" si="1"/>
        <v>0</v>
      </c>
      <c r="L17" s="17">
        <v>49</v>
      </c>
      <c r="M17" s="4"/>
      <c r="N17" s="13" t="s">
        <v>127</v>
      </c>
      <c r="O17" s="14" t="s">
        <v>40</v>
      </c>
      <c r="P17" s="14">
        <v>1</v>
      </c>
      <c r="Q17" s="15">
        <f t="shared" si="3"/>
        <v>0</v>
      </c>
      <c r="R17" s="17">
        <v>5</v>
      </c>
      <c r="T17" s="13" t="s">
        <v>121</v>
      </c>
      <c r="U17" s="14" t="s">
        <v>55</v>
      </c>
      <c r="V17" s="14">
        <v>19</v>
      </c>
      <c r="W17" s="15">
        <f t="shared" si="2"/>
        <v>0</v>
      </c>
      <c r="X17" s="17">
        <v>12</v>
      </c>
      <c r="Y17" s="7" t="s">
        <v>18</v>
      </c>
    </row>
    <row r="18" spans="1:25" s="1" customFormat="1" ht="18.75" customHeight="1" x14ac:dyDescent="0.2">
      <c r="D18" s="18">
        <f>SUM(D4:D17)</f>
        <v>260</v>
      </c>
      <c r="E18" s="18">
        <f>SUM(E4:E17)</f>
        <v>0</v>
      </c>
      <c r="F18" s="18">
        <f>260-D18</f>
        <v>0</v>
      </c>
      <c r="J18" s="18">
        <f>SUM(J4:J17)</f>
        <v>260</v>
      </c>
      <c r="K18" s="1">
        <f>SUM(K4:K17)</f>
        <v>0</v>
      </c>
      <c r="L18" s="18">
        <f>260-J18</f>
        <v>0</v>
      </c>
      <c r="P18" s="18">
        <f>SUM(P4:P17)</f>
        <v>260</v>
      </c>
      <c r="Q18" s="18">
        <f>SUM(Q4:Q17)</f>
        <v>0</v>
      </c>
      <c r="R18" s="18">
        <f>260-P18</f>
        <v>0</v>
      </c>
      <c r="V18" s="18">
        <f>SUM(V4:V17)</f>
        <v>260</v>
      </c>
      <c r="W18" s="18">
        <f>SUM(W4:W17)</f>
        <v>0</v>
      </c>
      <c r="X18" s="18">
        <f>260-V18</f>
        <v>0</v>
      </c>
    </row>
    <row r="19" spans="1:25" s="1" customFormat="1" ht="18.75" customHeight="1" x14ac:dyDescent="0.2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1"/>
      <c r="S19" s="11"/>
      <c r="T19" s="11"/>
      <c r="U19" s="11"/>
      <c r="V19" s="11"/>
      <c r="W19" s="11"/>
      <c r="X19" s="11"/>
    </row>
    <row r="20" spans="1:25" s="1" customFormat="1" ht="18.75" customHeight="1" x14ac:dyDescent="0.2">
      <c r="A20" s="6"/>
      <c r="B20" s="10" t="s">
        <v>20</v>
      </c>
      <c r="C20" s="20">
        <f>260-SUM(D22:D35)-SUM(E22:E35)+1</f>
        <v>1</v>
      </c>
      <c r="D20" s="20"/>
      <c r="E20" s="20"/>
      <c r="F20" s="20"/>
      <c r="G20" s="9"/>
      <c r="H20" s="8" t="s">
        <v>20</v>
      </c>
      <c r="I20" s="20">
        <f>260-SUM(J22:J35)-SUM(K22:K35)+1</f>
        <v>1</v>
      </c>
      <c r="J20" s="20"/>
      <c r="K20" s="20"/>
      <c r="L20" s="20"/>
      <c r="M20" s="9"/>
      <c r="N20" s="8" t="s">
        <v>20</v>
      </c>
      <c r="O20" s="20">
        <f>260-SUM(P22:P35)-SUM(Q22:Q35)+1</f>
        <v>1</v>
      </c>
      <c r="P20" s="20"/>
      <c r="Q20" s="20"/>
      <c r="R20" s="20"/>
      <c r="S20" s="9"/>
      <c r="T20" s="8"/>
      <c r="U20" s="20"/>
      <c r="V20" s="20"/>
      <c r="W20" s="20"/>
      <c r="X20" s="20"/>
    </row>
    <row r="21" spans="1:25" s="1" customFormat="1" ht="18.75" customHeight="1" x14ac:dyDescent="0.25">
      <c r="A21" s="1" t="s">
        <v>0</v>
      </c>
      <c r="B21" s="2" t="s">
        <v>5</v>
      </c>
      <c r="C21" s="2" t="s">
        <v>19</v>
      </c>
      <c r="D21" s="2" t="s">
        <v>8</v>
      </c>
      <c r="E21" s="2"/>
      <c r="F21" s="2" t="s">
        <v>9</v>
      </c>
      <c r="G21" s="2"/>
      <c r="H21" s="2" t="s">
        <v>6</v>
      </c>
      <c r="I21" s="2" t="s">
        <v>19</v>
      </c>
      <c r="J21" s="2" t="s">
        <v>8</v>
      </c>
      <c r="K21" s="2"/>
      <c r="L21" s="2" t="s">
        <v>9</v>
      </c>
      <c r="M21" s="2"/>
      <c r="N21" s="2" t="s">
        <v>7</v>
      </c>
      <c r="O21" s="2" t="s">
        <v>19</v>
      </c>
      <c r="P21" s="2" t="s">
        <v>8</v>
      </c>
      <c r="Q21" s="2"/>
      <c r="R21" s="2" t="s">
        <v>9</v>
      </c>
      <c r="S21" s="2"/>
      <c r="T21" s="2"/>
      <c r="U21" s="2"/>
      <c r="V21" s="2"/>
      <c r="W21" s="2"/>
      <c r="X21" s="2"/>
      <c r="Y21" s="1" t="s">
        <v>0</v>
      </c>
    </row>
    <row r="22" spans="1:25" s="1" customFormat="1" ht="18.75" customHeight="1" x14ac:dyDescent="0.25">
      <c r="A22" s="3" t="s">
        <v>14</v>
      </c>
      <c r="B22" s="13" t="s">
        <v>81</v>
      </c>
      <c r="C22" s="14" t="s">
        <v>52</v>
      </c>
      <c r="D22" s="14">
        <v>12</v>
      </c>
      <c r="E22" s="15">
        <f t="shared" ref="E22:E35" si="8">IF(D22&gt;0, 0, 1)</f>
        <v>0</v>
      </c>
      <c r="F22" s="17">
        <v>56</v>
      </c>
      <c r="H22" s="13" t="s">
        <v>66</v>
      </c>
      <c r="I22" s="14" t="s">
        <v>30</v>
      </c>
      <c r="J22" s="14">
        <v>11</v>
      </c>
      <c r="K22" s="15"/>
      <c r="L22" s="17">
        <v>36</v>
      </c>
      <c r="M22" s="4"/>
      <c r="N22" s="13" t="s">
        <v>96</v>
      </c>
      <c r="O22" s="14" t="s">
        <v>97</v>
      </c>
      <c r="P22" s="14">
        <v>1</v>
      </c>
      <c r="Q22" s="15">
        <f>IF(P22&gt;0, 0, 1)</f>
        <v>0</v>
      </c>
      <c r="R22" s="17">
        <v>12</v>
      </c>
      <c r="T22" s="9"/>
      <c r="U22" s="8"/>
      <c r="V22" s="5"/>
      <c r="W22" s="19"/>
      <c r="X22" s="5"/>
      <c r="Y22" s="3" t="s">
        <v>14</v>
      </c>
    </row>
    <row r="23" spans="1:25" s="1" customFormat="1" ht="18.75" customHeight="1" x14ac:dyDescent="0.25">
      <c r="A23" s="3" t="s">
        <v>10</v>
      </c>
      <c r="B23" s="13" t="s">
        <v>25</v>
      </c>
      <c r="C23" s="14" t="s">
        <v>26</v>
      </c>
      <c r="D23" s="14">
        <v>69</v>
      </c>
      <c r="E23" s="15">
        <f t="shared" si="8"/>
        <v>0</v>
      </c>
      <c r="F23" s="17">
        <v>191</v>
      </c>
      <c r="H23" s="13" t="s">
        <v>79</v>
      </c>
      <c r="I23" s="14" t="s">
        <v>80</v>
      </c>
      <c r="J23" s="14">
        <v>1</v>
      </c>
      <c r="K23" s="15">
        <f t="shared" ref="K23:K35" si="9">IF(J23&gt;0, 0, 1)</f>
        <v>0</v>
      </c>
      <c r="L23" s="17">
        <v>22</v>
      </c>
      <c r="M23" s="4"/>
      <c r="N23" s="13" t="s">
        <v>51</v>
      </c>
      <c r="O23" s="14" t="s">
        <v>52</v>
      </c>
      <c r="P23" s="14">
        <v>50</v>
      </c>
      <c r="Q23" s="15">
        <f t="shared" ref="Q23:Q35" si="10">IF(P23&gt;0, 0, 1)</f>
        <v>0</v>
      </c>
      <c r="R23" s="17">
        <v>187</v>
      </c>
      <c r="T23" s="9"/>
      <c r="U23" s="8"/>
      <c r="V23" s="5"/>
      <c r="W23" s="19"/>
      <c r="X23" s="5"/>
      <c r="Y23" s="3" t="s">
        <v>10</v>
      </c>
    </row>
    <row r="24" spans="1:25" s="1" customFormat="1" ht="18.75" customHeight="1" x14ac:dyDescent="0.25">
      <c r="A24" s="3" t="s">
        <v>11</v>
      </c>
      <c r="B24" s="13" t="s">
        <v>44</v>
      </c>
      <c r="C24" s="14" t="s">
        <v>30</v>
      </c>
      <c r="D24" s="14">
        <v>39</v>
      </c>
      <c r="E24" s="15">
        <f t="shared" si="8"/>
        <v>0</v>
      </c>
      <c r="F24" s="17">
        <v>152</v>
      </c>
      <c r="H24" s="13" t="s">
        <v>95</v>
      </c>
      <c r="I24" s="14" t="s">
        <v>33</v>
      </c>
      <c r="J24" s="14">
        <v>1</v>
      </c>
      <c r="K24" s="15">
        <f t="shared" si="9"/>
        <v>0</v>
      </c>
      <c r="L24" s="17">
        <v>21</v>
      </c>
      <c r="M24" s="4"/>
      <c r="N24" s="13" t="s">
        <v>84</v>
      </c>
      <c r="O24" s="14" t="s">
        <v>40</v>
      </c>
      <c r="P24" s="14">
        <v>16</v>
      </c>
      <c r="Q24" s="15">
        <f t="shared" si="10"/>
        <v>0</v>
      </c>
      <c r="R24" s="17">
        <v>23</v>
      </c>
      <c r="T24" s="9"/>
      <c r="U24" s="8"/>
      <c r="V24" s="5"/>
      <c r="W24" s="19"/>
      <c r="X24" s="5"/>
      <c r="Y24" s="3" t="s">
        <v>11</v>
      </c>
    </row>
    <row r="25" spans="1:25" s="1" customFormat="1" ht="18.75" customHeight="1" x14ac:dyDescent="0.25">
      <c r="A25" s="3" t="s">
        <v>13</v>
      </c>
      <c r="B25" s="13" t="s">
        <v>46</v>
      </c>
      <c r="C25" s="14" t="s">
        <v>33</v>
      </c>
      <c r="D25" s="14">
        <v>37</v>
      </c>
      <c r="E25" s="15">
        <f t="shared" si="8"/>
        <v>0</v>
      </c>
      <c r="F25" s="17">
        <v>115</v>
      </c>
      <c r="H25" s="13" t="s">
        <v>129</v>
      </c>
      <c r="I25" s="14" t="s">
        <v>99</v>
      </c>
      <c r="J25" s="14">
        <v>19</v>
      </c>
      <c r="K25" s="15">
        <f t="shared" si="9"/>
        <v>0</v>
      </c>
      <c r="L25" s="17">
        <v>0</v>
      </c>
      <c r="M25" s="4"/>
      <c r="N25" s="13" t="s">
        <v>31</v>
      </c>
      <c r="O25" s="14" t="s">
        <v>28</v>
      </c>
      <c r="P25" s="14">
        <v>23</v>
      </c>
      <c r="Q25" s="15">
        <f t="shared" si="10"/>
        <v>0</v>
      </c>
      <c r="R25" s="17">
        <v>237</v>
      </c>
      <c r="T25" s="9"/>
      <c r="U25" s="8"/>
      <c r="V25" s="5"/>
      <c r="W25" s="19"/>
      <c r="X25" s="5"/>
      <c r="Y25" s="3" t="s">
        <v>13</v>
      </c>
    </row>
    <row r="26" spans="1:25" s="1" customFormat="1" ht="18.75" customHeight="1" x14ac:dyDescent="0.25">
      <c r="A26" s="3" t="s">
        <v>12</v>
      </c>
      <c r="B26" s="13" t="s">
        <v>124</v>
      </c>
      <c r="C26" s="14" t="s">
        <v>80</v>
      </c>
      <c r="D26" s="14">
        <v>1</v>
      </c>
      <c r="E26" s="15">
        <f t="shared" si="8"/>
        <v>0</v>
      </c>
      <c r="F26" s="17">
        <v>15</v>
      </c>
      <c r="H26" s="13" t="s">
        <v>41</v>
      </c>
      <c r="I26" s="14" t="s">
        <v>28</v>
      </c>
      <c r="J26" s="14">
        <v>73</v>
      </c>
      <c r="K26" s="15">
        <f t="shared" si="9"/>
        <v>0</v>
      </c>
      <c r="L26" s="17">
        <v>163</v>
      </c>
      <c r="M26" s="4"/>
      <c r="N26" s="13" t="s">
        <v>73</v>
      </c>
      <c r="O26" s="14" t="s">
        <v>52</v>
      </c>
      <c r="P26" s="14">
        <v>50</v>
      </c>
      <c r="Q26" s="15">
        <f t="shared" si="10"/>
        <v>0</v>
      </c>
      <c r="R26" s="17">
        <v>45</v>
      </c>
      <c r="T26" s="9"/>
      <c r="U26" s="8"/>
      <c r="V26" s="8"/>
      <c r="W26" s="19"/>
      <c r="X26" s="5"/>
      <c r="Y26" s="3" t="s">
        <v>12</v>
      </c>
    </row>
    <row r="27" spans="1:25" s="1" customFormat="1" ht="18.75" customHeight="1" x14ac:dyDescent="0.25">
      <c r="A27" s="3" t="s">
        <v>15</v>
      </c>
      <c r="B27" s="13" t="s">
        <v>94</v>
      </c>
      <c r="C27" s="14" t="s">
        <v>37</v>
      </c>
      <c r="D27" s="14">
        <v>1</v>
      </c>
      <c r="E27" s="15">
        <f t="shared" si="8"/>
        <v>0</v>
      </c>
      <c r="F27" s="17">
        <v>55</v>
      </c>
      <c r="H27" s="13" t="s">
        <v>56</v>
      </c>
      <c r="I27" s="14" t="s">
        <v>30</v>
      </c>
      <c r="J27" s="14">
        <v>22</v>
      </c>
      <c r="K27" s="15">
        <f t="shared" si="9"/>
        <v>0</v>
      </c>
      <c r="L27" s="17">
        <v>100</v>
      </c>
      <c r="M27" s="4"/>
      <c r="N27" s="13" t="s">
        <v>60</v>
      </c>
      <c r="O27" s="14" t="s">
        <v>30</v>
      </c>
      <c r="P27" s="14">
        <v>69</v>
      </c>
      <c r="Q27" s="15">
        <f t="shared" si="10"/>
        <v>0</v>
      </c>
      <c r="R27" s="17">
        <v>118</v>
      </c>
      <c r="T27" s="9"/>
      <c r="U27" s="8"/>
      <c r="V27" s="5"/>
      <c r="W27" s="19"/>
      <c r="X27" s="5"/>
      <c r="Y27" s="3" t="s">
        <v>15</v>
      </c>
    </row>
    <row r="28" spans="1:25" s="1" customFormat="1" ht="18.75" customHeight="1" x14ac:dyDescent="0.25">
      <c r="A28" s="3" t="s">
        <v>15</v>
      </c>
      <c r="B28" s="13" t="s">
        <v>110</v>
      </c>
      <c r="C28" s="14" t="s">
        <v>52</v>
      </c>
      <c r="D28" s="14">
        <v>1</v>
      </c>
      <c r="E28" s="15">
        <f t="shared" si="8"/>
        <v>0</v>
      </c>
      <c r="F28" s="17">
        <v>46</v>
      </c>
      <c r="H28" s="13" t="s">
        <v>57</v>
      </c>
      <c r="I28" s="14" t="s">
        <v>40</v>
      </c>
      <c r="J28" s="14">
        <v>23</v>
      </c>
      <c r="K28" s="15">
        <f t="shared" si="9"/>
        <v>0</v>
      </c>
      <c r="L28" s="17">
        <v>77</v>
      </c>
      <c r="M28" s="4"/>
      <c r="N28" s="13" t="s">
        <v>61</v>
      </c>
      <c r="O28" s="14" t="s">
        <v>62</v>
      </c>
      <c r="P28" s="14">
        <v>23</v>
      </c>
      <c r="Q28" s="15">
        <f t="shared" si="10"/>
        <v>0</v>
      </c>
      <c r="R28" s="17">
        <v>95</v>
      </c>
      <c r="T28" s="9"/>
      <c r="U28" s="8"/>
      <c r="V28" s="5"/>
      <c r="W28" s="19"/>
      <c r="X28" s="5"/>
      <c r="Y28" s="3" t="s">
        <v>15</v>
      </c>
    </row>
    <row r="29" spans="1:25" s="1" customFormat="1" ht="18.75" customHeight="1" x14ac:dyDescent="0.25">
      <c r="A29" s="3" t="s">
        <v>15</v>
      </c>
      <c r="B29" s="13" t="s">
        <v>117</v>
      </c>
      <c r="C29" s="14" t="s">
        <v>80</v>
      </c>
      <c r="D29" s="14">
        <v>1</v>
      </c>
      <c r="E29" s="15">
        <f t="shared" si="8"/>
        <v>0</v>
      </c>
      <c r="F29" s="17">
        <v>16</v>
      </c>
      <c r="H29" s="13" t="s">
        <v>64</v>
      </c>
      <c r="I29" s="14" t="s">
        <v>33</v>
      </c>
      <c r="J29" s="14">
        <v>7</v>
      </c>
      <c r="K29" s="15">
        <f t="shared" si="9"/>
        <v>0</v>
      </c>
      <c r="L29" s="17">
        <v>70</v>
      </c>
      <c r="M29" s="4"/>
      <c r="N29" s="13" t="s">
        <v>76</v>
      </c>
      <c r="O29" s="14" t="s">
        <v>33</v>
      </c>
      <c r="P29" s="14">
        <v>2</v>
      </c>
      <c r="Q29" s="15">
        <f t="shared" si="10"/>
        <v>0</v>
      </c>
      <c r="R29" s="17">
        <v>43</v>
      </c>
      <c r="T29" s="9"/>
      <c r="U29" s="8"/>
      <c r="V29" s="5"/>
      <c r="W29" s="19"/>
      <c r="X29" s="5"/>
      <c r="Y29" s="3" t="s">
        <v>15</v>
      </c>
    </row>
    <row r="30" spans="1:25" s="1" customFormat="1" ht="18.75" customHeight="1" x14ac:dyDescent="0.25">
      <c r="A30" s="3" t="s">
        <v>21</v>
      </c>
      <c r="B30" s="13" t="s">
        <v>104</v>
      </c>
      <c r="C30" s="14" t="s">
        <v>62</v>
      </c>
      <c r="D30" s="14">
        <v>8</v>
      </c>
      <c r="E30" s="15">
        <f t="shared" ref="E30" si="11">IF(D30&gt;0, 0, 1)</f>
        <v>0</v>
      </c>
      <c r="F30" s="17">
        <v>47</v>
      </c>
      <c r="H30" s="13" t="s">
        <v>118</v>
      </c>
      <c r="I30" s="14" t="s">
        <v>62</v>
      </c>
      <c r="J30" s="14">
        <v>1</v>
      </c>
      <c r="K30" s="15">
        <f t="shared" ref="K30" si="12">IF(J30&gt;0, 0, 1)</f>
        <v>0</v>
      </c>
      <c r="L30" s="17">
        <v>20</v>
      </c>
      <c r="M30" s="4"/>
      <c r="N30" s="13" t="s">
        <v>105</v>
      </c>
      <c r="O30" s="14" t="s">
        <v>40</v>
      </c>
      <c r="P30" s="14">
        <v>1</v>
      </c>
      <c r="Q30" s="15">
        <f t="shared" ref="Q30" si="13">IF(P30&gt;0, 0, 1)</f>
        <v>0</v>
      </c>
      <c r="R30" s="17">
        <v>1</v>
      </c>
      <c r="T30" s="9"/>
      <c r="U30" s="8"/>
      <c r="V30" s="5"/>
      <c r="W30" s="19"/>
      <c r="X30" s="5"/>
      <c r="Y30" s="3" t="s">
        <v>21</v>
      </c>
    </row>
    <row r="31" spans="1:25" s="1" customFormat="1" ht="18.75" customHeight="1" x14ac:dyDescent="0.25">
      <c r="A31" s="3" t="s">
        <v>16</v>
      </c>
      <c r="B31" s="13" t="s">
        <v>59</v>
      </c>
      <c r="C31" s="14" t="s">
        <v>30</v>
      </c>
      <c r="D31" s="14">
        <v>12</v>
      </c>
      <c r="E31" s="15">
        <f t="shared" si="8"/>
        <v>0</v>
      </c>
      <c r="F31" s="17">
        <v>73</v>
      </c>
      <c r="H31" s="13" t="s">
        <v>39</v>
      </c>
      <c r="I31" s="14" t="s">
        <v>40</v>
      </c>
      <c r="J31" s="14">
        <v>24</v>
      </c>
      <c r="K31" s="15">
        <f t="shared" si="9"/>
        <v>0</v>
      </c>
      <c r="L31" s="17">
        <v>236</v>
      </c>
      <c r="M31" s="4"/>
      <c r="N31" s="13" t="s">
        <v>82</v>
      </c>
      <c r="O31" s="14" t="s">
        <v>62</v>
      </c>
      <c r="P31" s="14">
        <v>4</v>
      </c>
      <c r="Q31" s="15">
        <f t="shared" si="10"/>
        <v>0</v>
      </c>
      <c r="R31" s="17">
        <v>39</v>
      </c>
      <c r="T31" s="9"/>
      <c r="U31" s="8"/>
      <c r="V31" s="5"/>
      <c r="W31" s="19"/>
      <c r="X31" s="5"/>
      <c r="Y31" s="3" t="s">
        <v>16</v>
      </c>
    </row>
    <row r="32" spans="1:25" s="1" customFormat="1" ht="18.75" customHeight="1" x14ac:dyDescent="0.25">
      <c r="A32" s="3" t="s">
        <v>16</v>
      </c>
      <c r="B32" s="13" t="s">
        <v>71</v>
      </c>
      <c r="C32" s="14" t="s">
        <v>28</v>
      </c>
      <c r="D32" s="14">
        <v>5</v>
      </c>
      <c r="E32" s="15">
        <f t="shared" si="8"/>
        <v>0</v>
      </c>
      <c r="F32" s="17">
        <v>68</v>
      </c>
      <c r="H32" s="13" t="s">
        <v>43</v>
      </c>
      <c r="I32" s="14" t="s">
        <v>33</v>
      </c>
      <c r="J32" s="14">
        <v>41</v>
      </c>
      <c r="K32" s="15">
        <f t="shared" si="9"/>
        <v>0</v>
      </c>
      <c r="L32" s="17">
        <v>122</v>
      </c>
      <c r="M32" s="4"/>
      <c r="N32" s="13" t="s">
        <v>93</v>
      </c>
      <c r="O32" s="14" t="s">
        <v>26</v>
      </c>
      <c r="P32" s="14">
        <v>2</v>
      </c>
      <c r="Q32" s="15">
        <f t="shared" si="10"/>
        <v>0</v>
      </c>
      <c r="R32" s="17">
        <v>13</v>
      </c>
      <c r="T32" s="9"/>
      <c r="U32" s="8"/>
      <c r="V32" s="5"/>
      <c r="W32" s="19"/>
      <c r="X32" s="5"/>
      <c r="Y32" s="3" t="s">
        <v>16</v>
      </c>
    </row>
    <row r="33" spans="1:25" s="1" customFormat="1" ht="18.75" customHeight="1" x14ac:dyDescent="0.25">
      <c r="A33" s="3" t="s">
        <v>16</v>
      </c>
      <c r="B33" s="13" t="s">
        <v>128</v>
      </c>
      <c r="C33" s="14" t="s">
        <v>33</v>
      </c>
      <c r="D33" s="14">
        <v>15</v>
      </c>
      <c r="E33" s="15">
        <f t="shared" si="8"/>
        <v>0</v>
      </c>
      <c r="F33" s="17">
        <v>0</v>
      </c>
      <c r="H33" s="13" t="s">
        <v>75</v>
      </c>
      <c r="I33" s="14" t="s">
        <v>35</v>
      </c>
      <c r="J33" s="14">
        <v>13</v>
      </c>
      <c r="K33" s="15">
        <f t="shared" si="9"/>
        <v>0</v>
      </c>
      <c r="L33" s="17">
        <v>23</v>
      </c>
      <c r="M33" s="4"/>
      <c r="N33" s="13" t="s">
        <v>112</v>
      </c>
      <c r="O33" s="14" t="s">
        <v>52</v>
      </c>
      <c r="P33" s="14">
        <v>1</v>
      </c>
      <c r="Q33" s="15">
        <f t="shared" si="10"/>
        <v>0</v>
      </c>
      <c r="R33" s="17">
        <v>0</v>
      </c>
      <c r="T33" s="9"/>
      <c r="U33" s="8"/>
      <c r="V33" s="5"/>
      <c r="W33" s="19"/>
      <c r="X33" s="5"/>
      <c r="Y33" s="3" t="s">
        <v>16</v>
      </c>
    </row>
    <row r="34" spans="1:25" s="1" customFormat="1" ht="18.75" customHeight="1" x14ac:dyDescent="0.25">
      <c r="A34" s="3" t="s">
        <v>17</v>
      </c>
      <c r="B34" s="13" t="s">
        <v>111</v>
      </c>
      <c r="C34" s="14" t="s">
        <v>62</v>
      </c>
      <c r="D34" s="14">
        <v>29</v>
      </c>
      <c r="E34" s="15">
        <f t="shared" si="8"/>
        <v>0</v>
      </c>
      <c r="F34" s="17">
        <v>17</v>
      </c>
      <c r="H34" s="13" t="s">
        <v>125</v>
      </c>
      <c r="I34" s="14" t="s">
        <v>24</v>
      </c>
      <c r="J34" s="14">
        <v>1</v>
      </c>
      <c r="K34" s="15">
        <f t="shared" si="9"/>
        <v>0</v>
      </c>
      <c r="L34" s="17">
        <v>19</v>
      </c>
      <c r="M34" s="4"/>
      <c r="N34" s="13" t="s">
        <v>98</v>
      </c>
      <c r="O34" s="14" t="s">
        <v>99</v>
      </c>
      <c r="P34" s="14">
        <v>10</v>
      </c>
      <c r="Q34" s="15">
        <f t="shared" si="10"/>
        <v>0</v>
      </c>
      <c r="R34" s="17">
        <v>2</v>
      </c>
      <c r="T34" s="9"/>
      <c r="U34" s="8"/>
      <c r="V34" s="5"/>
      <c r="W34" s="19"/>
      <c r="X34" s="5"/>
      <c r="Y34" s="3" t="s">
        <v>17</v>
      </c>
    </row>
    <row r="35" spans="1:25" s="1" customFormat="1" ht="18.75" customHeight="1" x14ac:dyDescent="0.25">
      <c r="A35" s="3" t="s">
        <v>18</v>
      </c>
      <c r="B35" s="13" t="s">
        <v>53</v>
      </c>
      <c r="C35" s="14" t="s">
        <v>30</v>
      </c>
      <c r="D35" s="14">
        <v>30</v>
      </c>
      <c r="E35" s="15">
        <f t="shared" si="8"/>
        <v>0</v>
      </c>
      <c r="F35" s="17">
        <v>85</v>
      </c>
      <c r="H35" s="13" t="s">
        <v>65</v>
      </c>
      <c r="I35" s="14" t="s">
        <v>35</v>
      </c>
      <c r="J35" s="14">
        <v>23</v>
      </c>
      <c r="K35" s="15">
        <f t="shared" si="9"/>
        <v>0</v>
      </c>
      <c r="L35" s="17">
        <v>47</v>
      </c>
      <c r="M35" s="4"/>
      <c r="N35" s="13" t="s">
        <v>86</v>
      </c>
      <c r="O35" s="14" t="s">
        <v>87</v>
      </c>
      <c r="P35" s="14">
        <v>8</v>
      </c>
      <c r="Q35" s="15">
        <f t="shared" si="10"/>
        <v>0</v>
      </c>
      <c r="R35" s="17">
        <v>15</v>
      </c>
      <c r="T35" s="9"/>
      <c r="U35" s="8"/>
      <c r="V35" s="5"/>
      <c r="W35" s="19"/>
      <c r="X35" s="5"/>
      <c r="Y35" s="3" t="s">
        <v>18</v>
      </c>
    </row>
    <row r="36" spans="1:25" ht="18.75" customHeight="1" x14ac:dyDescent="0.2">
      <c r="D36" s="18">
        <f>SUM(D22:D35)</f>
        <v>260</v>
      </c>
      <c r="E36" s="18">
        <f>SUM(E22:E35)</f>
        <v>0</v>
      </c>
      <c r="F36" s="18">
        <f>260-D36</f>
        <v>0</v>
      </c>
      <c r="J36" s="18">
        <f>SUM(J22:J35)</f>
        <v>260</v>
      </c>
      <c r="K36" s="18">
        <f>SUM(K22:K35)</f>
        <v>0</v>
      </c>
      <c r="L36" s="18">
        <f>260-J36</f>
        <v>0</v>
      </c>
      <c r="P36" s="18">
        <f>SUM(P22:P35)</f>
        <v>260</v>
      </c>
      <c r="Q36" s="18">
        <f>SUM(Q22:Q35)</f>
        <v>0</v>
      </c>
      <c r="R36" s="18">
        <f>260-P36</f>
        <v>0</v>
      </c>
      <c r="V36" s="1"/>
      <c r="W36" s="1">
        <f>SUM(W22:W35)</f>
        <v>0</v>
      </c>
      <c r="X36" s="1"/>
    </row>
  </sheetData>
  <mergeCells count="9">
    <mergeCell ref="O20:R20"/>
    <mergeCell ref="I20:L20"/>
    <mergeCell ref="C20:F20"/>
    <mergeCell ref="B1:X1"/>
    <mergeCell ref="C2:F2"/>
    <mergeCell ref="I2:L2"/>
    <mergeCell ref="O2:R2"/>
    <mergeCell ref="U2:X2"/>
    <mergeCell ref="U20:X20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Forest</cp:lastModifiedBy>
  <cp:lastPrinted>2011-03-27T04:00:53Z</cp:lastPrinted>
  <dcterms:created xsi:type="dcterms:W3CDTF">1996-10-14T23:33:28Z</dcterms:created>
  <dcterms:modified xsi:type="dcterms:W3CDTF">2023-03-18T20:08:16Z</dcterms:modified>
</cp:coreProperties>
</file>